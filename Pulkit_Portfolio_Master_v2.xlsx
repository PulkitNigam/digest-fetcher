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dian Mutual Funds" sheetId="2" state="visible" r:id="rId2"/>
    <sheet xmlns:r="http://schemas.openxmlformats.org/officeDocument/2006/relationships" name="Indian Stocks" sheetId="3" state="visible" r:id="rId3"/>
    <sheet xmlns:r="http://schemas.openxmlformats.org/officeDocument/2006/relationships" name="US Stocks &amp; ETFs" sheetId="4" state="visible" r:id="rId4"/>
    <sheet xmlns:r="http://schemas.openxmlformats.org/officeDocument/2006/relationships" name="Bonds" sheetId="5" state="visible" r:id="rId5"/>
    <sheet xmlns:r="http://schemas.openxmlformats.org/officeDocument/2006/relationships" name="Allocation" sheetId="6" state="visible" r:id="rId6"/>
    <sheet xmlns:r="http://schemas.openxmlformats.org/officeDocument/2006/relationships" name="Look-Through Overlap" sheetId="7" state="visible" r:id="rId7"/>
    <sheet xmlns:r="http://schemas.openxmlformats.org/officeDocument/2006/relationships" name="Action Calendar" sheetId="8" state="visible" r:id="rId8"/>
    <sheet xmlns:r="http://schemas.openxmlformats.org/officeDocument/2006/relationships" name="Laggards &amp; Review" sheetId="9" state="visible" r:id="rId9"/>
    <sheet xmlns:r="http://schemas.openxmlformats.org/officeDocument/2006/relationships" name="Watchlist &amp; News Map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0.0%"/>
  </numFmts>
  <fonts count="2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F5496"/>
      <sz val="14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color rgb="FF2F5496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color rgb="FF00610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666666"/>
      <sz val="9"/>
    </font>
    <font>
      <name val="Arial"/>
      <charset val="1"/>
      <family val="0"/>
      <color rgb="FF9C0006"/>
      <sz val="10"/>
    </font>
    <font>
      <b val="1"/>
      <color rgb="001F3864"/>
      <sz val="14"/>
    </font>
    <font>
      <i val="1"/>
      <color rgb="00666666"/>
      <sz val="9"/>
    </font>
    <font>
      <b val="1"/>
    </font>
    <font>
      <i val="1"/>
      <color rgb="00888888"/>
      <sz val="9"/>
    </font>
    <font>
      <b val="1"/>
      <color rgb="00C0504D"/>
      <sz val="11"/>
    </font>
    <font>
      <sz val="10"/>
    </font>
    <font>
      <b val="1"/>
      <color rgb="00FFFFFF"/>
      <sz val="10"/>
    </font>
    <font>
      <i val="1"/>
      <sz val="9"/>
    </font>
    <font>
      <b val="1"/>
      <sz val="10"/>
    </font>
    <font>
      <b val="1"/>
      <sz val="9"/>
    </font>
    <font>
      <b val="1"/>
      <color rgb="00C0504D"/>
    </font>
    <font>
      <sz val="9"/>
    </font>
    <font>
      <b val="1"/>
      <color rgb="00C0504D"/>
      <sz val="10"/>
    </font>
  </fonts>
  <fills count="10">
    <fill>
      <patternFill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C6EFCE"/>
      </patternFill>
    </fill>
    <fill>
      <patternFill patternType="solid">
        <fgColor rgb="FFFFC7CE"/>
        <bgColor rgb="FFCCCCFF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bottom" wrapText="1"/>
    </xf>
    <xf numFmtId="0" fontId="8" fillId="0" borderId="1" applyAlignment="1" pivotButton="0" quotePrefix="0" xfId="0">
      <alignment horizontal="left" vertical="bottom"/>
    </xf>
    <xf numFmtId="0" fontId="8" fillId="0" borderId="1" applyAlignment="1" pivotButton="0" quotePrefix="0" xfId="0">
      <alignment horizontal="center" vertical="bottom"/>
    </xf>
    <xf numFmtId="4" fontId="8" fillId="0" borderId="1" applyAlignment="1" pivotButton="0" quotePrefix="0" xfId="0">
      <alignment horizontal="center" vertical="bottom"/>
    </xf>
    <xf numFmtId="4" fontId="9" fillId="3" borderId="1" applyAlignment="1" pivotButton="0" quotePrefix="0" xfId="0">
      <alignment horizontal="center" vertical="bottom"/>
    </xf>
    <xf numFmtId="10" fontId="8" fillId="0" borderId="1" applyAlignment="1" pivotButton="0" quotePrefix="0" xfId="0">
      <alignment horizontal="center" vertical="bottom"/>
    </xf>
    <xf numFmtId="0" fontId="10" fillId="4" borderId="1" applyAlignment="1" pivotButton="0" quotePrefix="0" xfId="0">
      <alignment horizontal="left" vertical="bottom"/>
    </xf>
    <xf numFmtId="0" fontId="10" fillId="4" borderId="1" applyAlignment="1" pivotButton="0" quotePrefix="0" xfId="0">
      <alignment horizontal="center" vertical="bottom"/>
    </xf>
    <xf numFmtId="4" fontId="10" fillId="4" borderId="1" applyAlignment="1" pivotButton="0" quotePrefix="0" xfId="0">
      <alignment horizontal="center" vertical="bottom"/>
    </xf>
    <xf numFmtId="10" fontId="10" fillId="4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4" fontId="12" fillId="5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164" fontId="8" fillId="0" borderId="1" applyAlignment="1" pivotButton="0" quotePrefix="0" xfId="0">
      <alignment horizontal="center" vertical="bottom"/>
    </xf>
    <xf numFmtId="164" fontId="10" fillId="4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bottom" wrapText="1"/>
    </xf>
    <xf numFmtId="0" fontId="8" fillId="0" borderId="1" applyAlignment="1" pivotButton="0" quotePrefix="0" xfId="0">
      <alignment horizontal="left" vertical="bottom"/>
    </xf>
    <xf numFmtId="0" fontId="8" fillId="0" borderId="1" applyAlignment="1" pivotButton="0" quotePrefix="0" xfId="0">
      <alignment horizontal="center" vertical="bottom"/>
    </xf>
    <xf numFmtId="4" fontId="8" fillId="0" borderId="1" applyAlignment="1" pivotButton="0" quotePrefix="0" xfId="0">
      <alignment horizontal="center" vertical="bottom"/>
    </xf>
    <xf numFmtId="4" fontId="9" fillId="3" borderId="1" applyAlignment="1" pivotButton="0" quotePrefix="0" xfId="0">
      <alignment horizontal="center" vertical="bottom"/>
    </xf>
    <xf numFmtId="10" fontId="8" fillId="0" borderId="1" applyAlignment="1" pivotButton="0" quotePrefix="0" xfId="0">
      <alignment horizontal="center" vertical="bottom"/>
    </xf>
    <xf numFmtId="0" fontId="10" fillId="4" borderId="1" applyAlignment="1" pivotButton="0" quotePrefix="0" xfId="0">
      <alignment horizontal="left" vertical="bottom"/>
    </xf>
    <xf numFmtId="0" fontId="10" fillId="4" borderId="1" applyAlignment="1" pivotButton="0" quotePrefix="0" xfId="0">
      <alignment horizontal="center" vertical="bottom"/>
    </xf>
    <xf numFmtId="4" fontId="10" fillId="4" borderId="1" applyAlignment="1" pivotButton="0" quotePrefix="0" xfId="0">
      <alignment horizontal="center" vertical="bottom"/>
    </xf>
    <xf numFmtId="10" fontId="10" fillId="4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17" fillId="0" borderId="0" pivotButton="0" quotePrefix="0" xfId="0"/>
    <xf numFmtId="3" fontId="0" fillId="0" borderId="0" pivotButton="0" quotePrefix="0" xfId="0"/>
    <xf numFmtId="0" fontId="15" fillId="0" borderId="0" pivotButton="0" quotePrefix="0" xfId="0"/>
    <xf numFmtId="3" fontId="15" fillId="0" borderId="0" pivotButton="0" quotePrefix="0" xfId="0"/>
    <xf numFmtId="0" fontId="16" fillId="0" borderId="0" pivotButton="0" quotePrefix="0" xfId="0"/>
    <xf numFmtId="0" fontId="4" fillId="0" borderId="0" applyAlignment="1" pivotButton="0" quotePrefix="0" xfId="0">
      <alignment horizontal="general" vertical="bottom"/>
    </xf>
    <xf numFmtId="4" fontId="12" fillId="5" borderId="1" applyAlignment="1" pivotButton="0" quotePrefix="0" xfId="0">
      <alignment horizontal="center" vertical="bottom"/>
    </xf>
    <xf numFmtId="4" fontId="0" fillId="0" borderId="0" applyAlignment="1" pivotButton="0" quotePrefix="0" xfId="0">
      <alignment horizontal="general" vertical="bottom"/>
    </xf>
    <xf numFmtId="164" fontId="8" fillId="0" borderId="1" applyAlignment="1" pivotButton="0" quotePrefix="0" xfId="0">
      <alignment horizontal="center" vertical="bottom"/>
    </xf>
    <xf numFmtId="164" fontId="10" fillId="4" borderId="1" applyAlignment="1" pivotButton="0" quotePrefix="0" xfId="0">
      <alignment horizontal="center" vertical="bottom"/>
    </xf>
    <xf numFmtId="0" fontId="13" fillId="0" borderId="0" pivotButton="0" quotePrefix="0" xfId="0"/>
    <xf numFmtId="0" fontId="14" fillId="0" borderId="0" pivotButton="0" quotePrefix="0" xfId="0"/>
    <xf numFmtId="0" fontId="18" fillId="0" borderId="0" pivotButton="0" quotePrefix="0" xfId="0"/>
    <xf numFmtId="0" fontId="19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0" fillId="0" borderId="0" pivotButton="0" quotePrefix="0" xfId="0"/>
    <xf numFmtId="0" fontId="0" fillId="7" borderId="0" pivotButton="0" quotePrefix="0" xfId="0"/>
    <xf numFmtId="0" fontId="15" fillId="7" borderId="0" pivotButton="0" quotePrefix="0" xfId="0"/>
    <xf numFmtId="3" fontId="15" fillId="7" borderId="0" pivotButton="0" quotePrefix="0" xfId="0"/>
    <xf numFmtId="165" fontId="15" fillId="7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vertical="top" wrapText="1"/>
    </xf>
    <xf numFmtId="0" fontId="22" fillId="8" borderId="0" pivotButton="0" quotePrefix="0" xfId="0"/>
    <xf numFmtId="0" fontId="22" fillId="7" borderId="0" pivotButton="0" quotePrefix="0" xfId="0"/>
    <xf numFmtId="0" fontId="22" fillId="9" borderId="0" pivotButton="0" quotePrefix="0" xfId="0"/>
    <xf numFmtId="10" fontId="0" fillId="0" borderId="0" pivotButton="0" quotePrefix="0" xfId="0"/>
    <xf numFmtId="0" fontId="23" fillId="0" borderId="0" pivotButton="0" quotePrefix="0" xfId="0"/>
    <xf numFmtId="0" fontId="24" fillId="0" borderId="0" applyAlignment="1" pivotButton="0" quotePrefix="0" xfId="0">
      <alignment vertical="top" wrapText="1"/>
    </xf>
    <xf numFmtId="0" fontId="24" fillId="0" borderId="0" pivotButton="0" quotePrefix="0" xfId="0"/>
    <xf numFmtId="0" fontId="25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B4C6E7"/>
      <rgbColor rgb="FF808080"/>
      <rgbColor rgb="FF9999FF"/>
      <rgbColor rgb="FF7030A0"/>
      <rgbColor rgb="FFE2EF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ED7D31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2F5496"/>
    <outlinePr summaryBelow="1" summaryRight="1"/>
    <pageSetUpPr fitToPage="0"/>
  </sheetPr>
  <dimension ref="A1:H1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2" min="1" max="1"/>
    <col width="18" customWidth="1" style="22" min="2" max="4"/>
    <col width="16" customWidth="1" style="22" min="5" max="5"/>
    <col width="12" customWidth="1" style="22" min="6" max="6"/>
    <col width="14" customWidth="1" style="22" min="7" max="7"/>
  </cols>
  <sheetData>
    <row r="1" ht="17.35" customHeight="1" s="23">
      <c r="A1" s="24" t="inlineStr">
        <is>
          <t>Pulkit Kumar Nigam — Complete Portfolio Dashboard</t>
        </is>
      </c>
    </row>
    <row r="2" ht="15" customHeight="1" s="23">
      <c r="A2" s="25" t="inlineStr">
        <is>
          <t>As on 21 July 2026</t>
        </is>
      </c>
    </row>
    <row r="4" ht="15" customHeight="1" s="23">
      <c r="A4" s="26" t="inlineStr">
        <is>
          <t>PORTFOLIO SUMMARY</t>
        </is>
      </c>
    </row>
    <row r="5" ht="15" customHeight="1" s="23">
      <c r="A5" s="27" t="inlineStr">
        <is>
          <t>Asset Class</t>
        </is>
      </c>
      <c r="B5" s="27" t="inlineStr">
        <is>
          <t>Platform</t>
        </is>
      </c>
      <c r="C5" s="27" t="inlineStr">
        <is>
          <t>Invested (₹)</t>
        </is>
      </c>
      <c r="D5" s="27" t="inlineStr">
        <is>
          <t>Current Value (₹)</t>
        </is>
      </c>
      <c r="E5" s="27" t="inlineStr">
        <is>
          <t>P&amp;L (₹)</t>
        </is>
      </c>
      <c r="F5" s="27" t="inlineStr">
        <is>
          <t>P&amp;L %</t>
        </is>
      </c>
      <c r="G5" s="27" t="inlineStr">
        <is>
          <t>XIRR / Return</t>
        </is>
      </c>
    </row>
    <row r="6" ht="15" customHeight="1" s="23">
      <c r="A6" s="28" t="inlineStr">
        <is>
          <t>Indian Mutual Funds</t>
        </is>
      </c>
      <c r="B6" s="29" t="inlineStr">
        <is>
          <t>Groww + External</t>
        </is>
      </c>
      <c r="C6" s="30" t="n">
        <v>1476903.5</v>
      </c>
      <c r="D6" s="30" t="n">
        <v>1745921.8</v>
      </c>
      <c r="E6" s="31" t="n">
        <v>269018.3</v>
      </c>
      <c r="F6" s="32" t="n">
        <v>0.182150221730804</v>
      </c>
      <c r="G6" s="29" t="inlineStr">
        <is>
          <t>9.64%</t>
        </is>
      </c>
    </row>
    <row r="7" ht="15" customHeight="1" s="23">
      <c r="A7" s="28" t="inlineStr">
        <is>
          <t>Indian Stocks</t>
        </is>
      </c>
      <c r="B7" s="29" t="inlineStr">
        <is>
          <t>Groww</t>
        </is>
      </c>
      <c r="C7" s="30" t="n">
        <v>251465.51</v>
      </c>
      <c r="D7" s="30" t="n">
        <v>282801.57</v>
      </c>
      <c r="E7" s="31" t="n">
        <v>31336.06</v>
      </c>
      <c r="F7" s="32" t="n">
        <v>0.124613749217537</v>
      </c>
      <c r="G7" s="29" t="inlineStr">
        <is>
          <t>—</t>
        </is>
      </c>
    </row>
    <row r="8" ht="15" customHeight="1" s="23">
      <c r="A8" s="28" t="inlineStr">
        <is>
          <t>Indian Bonds</t>
        </is>
      </c>
      <c r="B8" s="29" t="inlineStr">
        <is>
          <t>INDmoney</t>
        </is>
      </c>
      <c r="C8" s="30" t="n">
        <v>188071.51</v>
      </c>
      <c r="D8" s="30" t="n">
        <v>190000</v>
      </c>
      <c r="E8" s="31" t="n">
        <v>1928.49</v>
      </c>
      <c r="F8" s="32" t="n">
        <v>0.0102540251843567</v>
      </c>
      <c r="G8" s="29" t="inlineStr">
        <is>
          <t>—</t>
        </is>
      </c>
    </row>
    <row r="9" ht="15" customHeight="1" s="23">
      <c r="A9" s="28" t="inlineStr">
        <is>
          <t>US Stocks &amp; ETFs</t>
        </is>
      </c>
      <c r="B9" s="29" t="inlineStr">
        <is>
          <t>INDmoney</t>
        </is>
      </c>
      <c r="C9" s="30" t="inlineStr">
        <is>
          <t>~$3,665 invested</t>
        </is>
      </c>
      <c r="D9" s="30" t="inlineStr">
        <is>
          <t>~$4,332 current</t>
        </is>
      </c>
      <c r="E9" s="30" t="inlineStr">
        <is>
          <t>~$667</t>
        </is>
      </c>
      <c r="F9" s="32" t="n"/>
      <c r="G9" s="29" t="inlineStr">
        <is>
          <t>—</t>
        </is>
      </c>
    </row>
    <row r="10" ht="15" customHeight="1" s="23">
      <c r="A10" s="33" t="inlineStr">
        <is>
          <t>TOTAL (INR)</t>
        </is>
      </c>
      <c r="B10" s="34" t="n"/>
      <c r="C10" s="35">
        <f>SUM(C6:C8)</f>
        <v/>
      </c>
      <c r="D10" s="35">
        <f>SUM(D6:D8)</f>
        <v/>
      </c>
      <c r="E10" s="35">
        <f>SUM(E6:E8)</f>
        <v/>
      </c>
      <c r="F10" s="36">
        <f>E10/C10</f>
        <v/>
      </c>
      <c r="G10" s="34" t="n"/>
    </row>
    <row r="12" ht="15" customHeight="1" s="23">
      <c r="A12" s="37" t="inlineStr">
        <is>
          <t>Note: US portfolio shown in USD. Convert at prevailing rate for INR total. Bond value at maturity (Aug 2026).</t>
        </is>
      </c>
    </row>
    <row r="14">
      <c r="A14" s="38" t="inlineStr">
        <is>
          <t>CORRECTED TOTAL (incl. US portfolio)</t>
        </is>
      </c>
    </row>
    <row r="15">
      <c r="A15" t="inlineStr">
        <is>
          <t>Indian assets (MF + stocks + bonds)</t>
        </is>
      </c>
      <c r="B15" s="39" t="n">
        <v>2218723.37</v>
      </c>
    </row>
    <row r="16">
      <c r="A16" t="inlineStr">
        <is>
          <t>US portfolio (at USD/INR 88.0)</t>
        </is>
      </c>
      <c r="B16" s="39" t="n">
        <v>381310</v>
      </c>
    </row>
    <row r="17">
      <c r="A17" s="40" t="inlineStr">
        <is>
          <t>TRUE TOTAL</t>
        </is>
      </c>
      <c r="B17" s="41" t="n">
        <v>2600034</v>
      </c>
    </row>
    <row r="18">
      <c r="A18" s="42" t="inlineStr">
        <is>
          <t>Note: the original TOTAL row excluded the US book entirely.</t>
        </is>
      </c>
    </row>
    <row r="19">
      <c r="A19" s="42" t="inlineStr">
        <is>
          <t>Note: dashboard dated 21 July 2026 — refresh prices before acting on it.</t>
        </is>
      </c>
    </row>
  </sheetData>
  <mergeCells count="4">
    <mergeCell ref="A12:H12"/>
    <mergeCell ref="A4:D4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K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48" customWidth="1" style="22" min="1" max="1"/>
    <col width="18" customWidth="1" style="22" min="2" max="2"/>
    <col width="10" customWidth="1" style="22" min="3" max="3"/>
    <col width="18" customWidth="1" style="22" min="4" max="4"/>
    <col width="10" customWidth="1" style="22" min="5" max="5"/>
    <col width="12" customWidth="1" style="22" min="6" max="6"/>
    <col width="16" customWidth="1" style="22" min="7" max="7"/>
    <col width="18" customWidth="1" style="22" min="8" max="8"/>
    <col width="16" customWidth="1" style="22" min="9" max="9"/>
    <col width="12" customWidth="1" style="22" min="10" max="10"/>
    <col width="10" customWidth="1" style="22" min="11" max="11"/>
  </cols>
  <sheetData>
    <row r="1" ht="17.35" customHeight="1" s="23">
      <c r="A1" s="43" t="inlineStr">
        <is>
          <t>Indian Mutual Fund Holdings — As on 21 July 2026</t>
        </is>
      </c>
    </row>
    <row r="3" ht="15" customHeight="1" s="23">
      <c r="A3" s="27" t="inlineStr">
        <is>
          <t>Scheme Name</t>
        </is>
      </c>
      <c r="B3" s="27" t="inlineStr">
        <is>
          <t>AMC</t>
        </is>
      </c>
      <c r="C3" s="27" t="inlineStr">
        <is>
          <t>Category</t>
        </is>
      </c>
      <c r="D3" s="27" t="inlineStr">
        <is>
          <t>Sub-category</t>
        </is>
      </c>
      <c r="E3" s="27" t="inlineStr">
        <is>
          <t>Source</t>
        </is>
      </c>
      <c r="F3" s="27" t="inlineStr">
        <is>
          <t>Units</t>
        </is>
      </c>
      <c r="G3" s="27" t="inlineStr">
        <is>
          <t>Invested (₹)</t>
        </is>
      </c>
      <c r="H3" s="27" t="inlineStr">
        <is>
          <t>Current Value (₹)</t>
        </is>
      </c>
      <c r="I3" s="27" t="inlineStr">
        <is>
          <t>Returns (₹)</t>
        </is>
      </c>
      <c r="J3" s="27" t="inlineStr">
        <is>
          <t>Returns %</t>
        </is>
      </c>
      <c r="K3" s="27" t="inlineStr">
        <is>
          <t>XIRR</t>
        </is>
      </c>
    </row>
    <row r="4" ht="15" customHeight="1" s="23">
      <c r="A4" s="28" t="inlineStr">
        <is>
          <t>Invesco India Mid Cap Fund Growth</t>
        </is>
      </c>
      <c r="B4" s="29" t="inlineStr">
        <is>
          <t>Invesco</t>
        </is>
      </c>
      <c r="C4" s="29" t="inlineStr">
        <is>
          <t>Equity</t>
        </is>
      </c>
      <c r="D4" s="29" t="inlineStr">
        <is>
          <t>Mid Cap</t>
        </is>
      </c>
      <c r="E4" s="29" t="inlineStr">
        <is>
          <t>External</t>
        </is>
      </c>
      <c r="F4" s="29" t="n">
        <v>343.995</v>
      </c>
      <c r="G4" s="30" t="n">
        <v>58497.15</v>
      </c>
      <c r="H4" s="30" t="n">
        <v>68159.17</v>
      </c>
      <c r="I4" s="31" t="n">
        <v>9662.02</v>
      </c>
      <c r="J4" s="32">
        <f>I4/G4</f>
        <v/>
      </c>
      <c r="K4" s="32" t="n">
        <v>0.1563</v>
      </c>
    </row>
    <row r="5" ht="15" customHeight="1" s="23">
      <c r="A5" s="28" t="inlineStr">
        <is>
          <t>Nippon India Low Duration Fund Direct Growth</t>
        </is>
      </c>
      <c r="B5" s="29" t="inlineStr">
        <is>
          <t>Nippon India</t>
        </is>
      </c>
      <c r="C5" s="29" t="inlineStr">
        <is>
          <t>Debt</t>
        </is>
      </c>
      <c r="D5" s="29" t="inlineStr">
        <is>
          <t>Low Duration</t>
        </is>
      </c>
      <c r="E5" s="29" t="inlineStr">
        <is>
          <t>Groww</t>
        </is>
      </c>
      <c r="F5" s="29" t="n">
        <v>12.509</v>
      </c>
      <c r="G5" s="30" t="n">
        <v>50994.29</v>
      </c>
      <c r="H5" s="30" t="n">
        <v>53141.32</v>
      </c>
      <c r="I5" s="31" t="n">
        <v>2147.03</v>
      </c>
      <c r="J5" s="32">
        <f>I5/G5</f>
        <v/>
      </c>
      <c r="K5" s="32" t="n">
        <v>0.0638</v>
      </c>
    </row>
    <row r="6" ht="15" customHeight="1" s="23">
      <c r="A6" s="28" t="inlineStr">
        <is>
          <t>Quant ELSS Tax Saver Fund Direct Growth</t>
        </is>
      </c>
      <c r="B6" s="29" t="inlineStr">
        <is>
          <t>Quant</t>
        </is>
      </c>
      <c r="C6" s="29" t="inlineStr">
        <is>
          <t>Equity</t>
        </is>
      </c>
      <c r="D6" s="29" t="inlineStr">
        <is>
          <t>ELSS</t>
        </is>
      </c>
      <c r="E6" s="29" t="inlineStr">
        <is>
          <t>Groww</t>
        </is>
      </c>
      <c r="F6" s="29" t="n">
        <v>157.456</v>
      </c>
      <c r="G6" s="30" t="n">
        <v>38998.11</v>
      </c>
      <c r="H6" s="30" t="n">
        <v>73029.03999999999</v>
      </c>
      <c r="I6" s="31" t="n">
        <v>34030.93</v>
      </c>
      <c r="J6" s="32">
        <f>I6/G6</f>
        <v/>
      </c>
      <c r="K6" s="32" t="n">
        <v>0.2027</v>
      </c>
    </row>
    <row r="7" ht="15" customHeight="1" s="23">
      <c r="A7" s="28" t="inlineStr">
        <is>
          <t>Aditya Birla SL Credit Risk Fund Direct Growth</t>
        </is>
      </c>
      <c r="B7" s="29" t="inlineStr">
        <is>
          <t>ABSL</t>
        </is>
      </c>
      <c r="C7" s="29" t="inlineStr">
        <is>
          <t>Debt</t>
        </is>
      </c>
      <c r="D7" s="29" t="inlineStr">
        <is>
          <t>Credit Risk</t>
        </is>
      </c>
      <c r="E7" s="29" t="inlineStr">
        <is>
          <t>Groww</t>
        </is>
      </c>
      <c r="F7" s="29" t="n">
        <v>5411.769</v>
      </c>
      <c r="G7" s="30" t="n">
        <v>135993.26</v>
      </c>
      <c r="H7" s="30" t="n">
        <v>150676.64</v>
      </c>
      <c r="I7" s="31" t="n">
        <v>14683.38</v>
      </c>
      <c r="J7" s="32">
        <f>I7/G7</f>
        <v/>
      </c>
      <c r="K7" s="32" t="n">
        <v>0.1296</v>
      </c>
    </row>
    <row r="8" ht="15" customHeight="1" s="23">
      <c r="A8" s="28" t="inlineStr">
        <is>
          <t>UTI Aggressive Hybrid Fund Plan Growth</t>
        </is>
      </c>
      <c r="B8" s="29" t="inlineStr">
        <is>
          <t>UTI</t>
        </is>
      </c>
      <c r="C8" s="29" t="inlineStr">
        <is>
          <t>Hybrid</t>
        </is>
      </c>
      <c r="D8" s="29" t="inlineStr">
        <is>
          <t>Aggressive Hybrid</t>
        </is>
      </c>
      <c r="E8" s="29" t="inlineStr">
        <is>
          <t>External</t>
        </is>
      </c>
      <c r="F8" s="29" t="n">
        <v>228.683</v>
      </c>
      <c r="G8" s="30" t="n">
        <v>72447.06</v>
      </c>
      <c r="H8" s="30" t="n">
        <v>93426.08</v>
      </c>
      <c r="I8" s="31" t="n">
        <v>20979.03</v>
      </c>
      <c r="J8" s="32">
        <f>I8/G8</f>
        <v/>
      </c>
      <c r="K8" s="32" t="n">
        <v>0.1013</v>
      </c>
    </row>
    <row r="9" ht="15" customHeight="1" s="23">
      <c r="A9" s="28" t="inlineStr">
        <is>
          <t>ICICI Pru Dividend Yield Equity Fund Growth</t>
        </is>
      </c>
      <c r="B9" s="29" t="inlineStr">
        <is>
          <t>ICICI Pru</t>
        </is>
      </c>
      <c r="C9" s="29" t="inlineStr">
        <is>
          <t>Equity</t>
        </is>
      </c>
      <c r="D9" s="29" t="inlineStr">
        <is>
          <t>Thematic</t>
        </is>
      </c>
      <c r="E9" s="29" t="inlineStr">
        <is>
          <t>External</t>
        </is>
      </c>
      <c r="F9" s="29" t="n">
        <v>1902.741</v>
      </c>
      <c r="G9" s="30" t="n">
        <v>72446.39</v>
      </c>
      <c r="H9" s="30" t="n">
        <v>101872.75</v>
      </c>
      <c r="I9" s="31" t="n">
        <v>29426.37</v>
      </c>
      <c r="J9" s="32">
        <f>I9/G9</f>
        <v/>
      </c>
      <c r="K9" s="32" t="n">
        <v>0.1379</v>
      </c>
    </row>
    <row r="10" ht="15" customHeight="1" s="23">
      <c r="A10" s="28" t="inlineStr">
        <is>
          <t>Mirae Asset Midcap Fund Growth</t>
        </is>
      </c>
      <c r="B10" s="29" t="inlineStr">
        <is>
          <t>Mirae Asset</t>
        </is>
      </c>
      <c r="C10" s="29" t="inlineStr">
        <is>
          <t>Equity</t>
        </is>
      </c>
      <c r="D10" s="29" t="inlineStr">
        <is>
          <t>Mid Cap</t>
        </is>
      </c>
      <c r="E10" s="29" t="inlineStr">
        <is>
          <t>External</t>
        </is>
      </c>
      <c r="F10" s="29" t="n">
        <v>2666.762</v>
      </c>
      <c r="G10" s="30" t="n">
        <v>72446.27</v>
      </c>
      <c r="H10" s="30" t="n">
        <v>106766.48</v>
      </c>
      <c r="I10" s="31" t="n">
        <v>34320.21</v>
      </c>
      <c r="J10" s="32">
        <f>I10/G10</f>
        <v/>
      </c>
      <c r="K10" s="32" t="n">
        <v>0.1582</v>
      </c>
    </row>
    <row r="11" ht="15" customHeight="1" s="23">
      <c r="A11" s="28" t="inlineStr">
        <is>
          <t>Parag Parikh ELSS Tax Saver Fund Direct Growth</t>
        </is>
      </c>
      <c r="B11" s="29" t="inlineStr">
        <is>
          <t>PPFAS</t>
        </is>
      </c>
      <c r="C11" s="29" t="inlineStr">
        <is>
          <t>Equity</t>
        </is>
      </c>
      <c r="D11" s="29" t="inlineStr">
        <is>
          <t>ELSS</t>
        </is>
      </c>
      <c r="E11" s="29" t="inlineStr">
        <is>
          <t>External</t>
        </is>
      </c>
      <c r="F11" s="29" t="n">
        <v>1931.81</v>
      </c>
      <c r="G11" s="30" t="n">
        <v>39997.99</v>
      </c>
      <c r="H11" s="30" t="n">
        <v>61920.69</v>
      </c>
      <c r="I11" s="31" t="n">
        <v>21922.7</v>
      </c>
      <c r="J11" s="32">
        <f>I11/G11</f>
        <v/>
      </c>
      <c r="K11" s="32" t="n">
        <v>0.1366</v>
      </c>
    </row>
    <row r="12" ht="15" customHeight="1" s="23">
      <c r="A12" s="28" t="inlineStr">
        <is>
          <t>Bandhan ELSS Tax Saver Fund Direct Plan Growth</t>
        </is>
      </c>
      <c r="B12" s="29" t="inlineStr">
        <is>
          <t>Bandhan</t>
        </is>
      </c>
      <c r="C12" s="29" t="inlineStr">
        <is>
          <t>Equity</t>
        </is>
      </c>
      <c r="D12" s="29" t="inlineStr">
        <is>
          <t>ELSS</t>
        </is>
      </c>
      <c r="E12" s="29" t="inlineStr">
        <is>
          <t>Groww</t>
        </is>
      </c>
      <c r="F12" s="29" t="n">
        <v>134.568</v>
      </c>
      <c r="G12" s="30" t="n">
        <v>14999.22</v>
      </c>
      <c r="H12" s="30" t="n">
        <v>23997.65</v>
      </c>
      <c r="I12" s="31" t="n">
        <v>8998.43</v>
      </c>
      <c r="J12" s="32">
        <f>I12/G12</f>
        <v/>
      </c>
      <c r="K12" s="32" t="n">
        <v>0.145</v>
      </c>
    </row>
    <row r="13" ht="15" customHeight="1" s="23">
      <c r="A13" s="28" t="inlineStr">
        <is>
          <t>ICICI Pru BHARAT 22 FOF Direct Growth</t>
        </is>
      </c>
      <c r="B13" s="29" t="inlineStr">
        <is>
          <t>ICICI Pru</t>
        </is>
      </c>
      <c r="C13" s="29" t="inlineStr">
        <is>
          <t>Equity</t>
        </is>
      </c>
      <c r="D13" s="29" t="inlineStr">
        <is>
          <t>Thematic</t>
        </is>
      </c>
      <c r="E13" s="29" t="inlineStr">
        <is>
          <t>Groww</t>
        </is>
      </c>
      <c r="F13" s="29" t="n">
        <v>304.954</v>
      </c>
      <c r="G13" s="30" t="n">
        <v>9999.5</v>
      </c>
      <c r="H13" s="30" t="n">
        <v>10378.5</v>
      </c>
      <c r="I13" s="31" t="n">
        <v>379</v>
      </c>
      <c r="J13" s="32">
        <f>I13/G13</f>
        <v/>
      </c>
      <c r="K13" s="32" t="n">
        <v>0.018</v>
      </c>
    </row>
    <row r="14" ht="15" customHeight="1" s="23">
      <c r="A14" s="28" t="inlineStr">
        <is>
          <t>HDFC Dividend Yield Fund Growth</t>
        </is>
      </c>
      <c r="B14" s="29" t="inlineStr">
        <is>
          <t>HDFC</t>
        </is>
      </c>
      <c r="C14" s="29" t="inlineStr">
        <is>
          <t>Equity</t>
        </is>
      </c>
      <c r="D14" s="29" t="inlineStr">
        <is>
          <t>Thematic</t>
        </is>
      </c>
      <c r="E14" s="29" t="inlineStr">
        <is>
          <t>External</t>
        </is>
      </c>
      <c r="F14" s="29" t="n">
        <v>4808.634</v>
      </c>
      <c r="G14" s="30" t="n">
        <v>116994.06</v>
      </c>
      <c r="H14" s="30" t="n">
        <v>119210.85</v>
      </c>
      <c r="I14" s="31" t="n">
        <v>2216.79</v>
      </c>
      <c r="J14" s="32">
        <f>I14/G14</f>
        <v/>
      </c>
      <c r="K14" s="32" t="n">
        <v>0.0183</v>
      </c>
    </row>
    <row r="15" ht="15" customHeight="1" s="23">
      <c r="A15" s="28" t="inlineStr">
        <is>
          <t>Kotak ELSS Tax Saver Fund Direct Growth</t>
        </is>
      </c>
      <c r="B15" s="29" t="inlineStr">
        <is>
          <t>Kotak</t>
        </is>
      </c>
      <c r="C15" s="29" t="inlineStr">
        <is>
          <t>Equity</t>
        </is>
      </c>
      <c r="D15" s="29" t="inlineStr">
        <is>
          <t>ELSS</t>
        </is>
      </c>
      <c r="E15" s="29" t="inlineStr">
        <is>
          <t>External</t>
        </is>
      </c>
      <c r="F15" s="29" t="n">
        <v>276.591</v>
      </c>
      <c r="G15" s="30" t="n">
        <v>22998.82</v>
      </c>
      <c r="H15" s="30" t="n">
        <v>38419.04</v>
      </c>
      <c r="I15" s="31" t="n">
        <v>15420.22</v>
      </c>
      <c r="J15" s="32">
        <f>I15/G15</f>
        <v/>
      </c>
      <c r="K15" s="32" t="n">
        <v>0.1653</v>
      </c>
    </row>
    <row r="16" ht="15" customHeight="1" s="23">
      <c r="A16" s="28" t="inlineStr">
        <is>
          <t>Motilal Oswal Midcap Fund Growth</t>
        </is>
      </c>
      <c r="B16" s="29" t="inlineStr">
        <is>
          <t>Motilal Oswal</t>
        </is>
      </c>
      <c r="C16" s="29" t="inlineStr">
        <is>
          <t>Equity</t>
        </is>
      </c>
      <c r="D16" s="29" t="inlineStr">
        <is>
          <t>Mid Cap</t>
        </is>
      </c>
      <c r="E16" s="29" t="inlineStr">
        <is>
          <t>External</t>
        </is>
      </c>
      <c r="F16" s="29" t="n">
        <v>887.758</v>
      </c>
      <c r="G16" s="30" t="n">
        <v>87735.61</v>
      </c>
      <c r="H16" s="30" t="n">
        <v>87903.92999999999</v>
      </c>
      <c r="I16" s="31" t="n">
        <v>168.32</v>
      </c>
      <c r="J16" s="32">
        <f>I16/G16</f>
        <v/>
      </c>
      <c r="K16" s="32" t="n">
        <v>0.0019</v>
      </c>
    </row>
    <row r="17" ht="15" customHeight="1" s="23">
      <c r="A17" s="28" t="inlineStr">
        <is>
          <t>Quant Mid Cap Fund Direct Growth</t>
        </is>
      </c>
      <c r="B17" s="29" t="inlineStr">
        <is>
          <t>Quant</t>
        </is>
      </c>
      <c r="C17" s="29" t="inlineStr">
        <is>
          <t>Equity</t>
        </is>
      </c>
      <c r="D17" s="29" t="inlineStr">
        <is>
          <t>Mid Cap</t>
        </is>
      </c>
      <c r="E17" s="29" t="inlineStr">
        <is>
          <t>Groww</t>
        </is>
      </c>
      <c r="F17" s="29" t="n">
        <v>36.581</v>
      </c>
      <c r="G17" s="30" t="n">
        <v>9999.51</v>
      </c>
      <c r="H17" s="30" t="n">
        <v>9333.99</v>
      </c>
      <c r="I17" s="44" t="n">
        <v>-665.51</v>
      </c>
      <c r="J17" s="32">
        <f>I17/G17</f>
        <v/>
      </c>
      <c r="K17" s="32" t="n">
        <v>-0.0324</v>
      </c>
    </row>
    <row r="18" ht="15" customHeight="1" s="23">
      <c r="A18" s="28" t="inlineStr">
        <is>
          <t>Mirae Asset Large Cap Fund Growth</t>
        </is>
      </c>
      <c r="B18" s="29" t="inlineStr">
        <is>
          <t>Mirae Asset</t>
        </is>
      </c>
      <c r="C18" s="29" t="inlineStr">
        <is>
          <t>Equity</t>
        </is>
      </c>
      <c r="D18" s="29" t="inlineStr">
        <is>
          <t>Large Cap</t>
        </is>
      </c>
      <c r="E18" s="29" t="inlineStr">
        <is>
          <t>External</t>
        </is>
      </c>
      <c r="F18" s="29" t="n">
        <v>1065.235</v>
      </c>
      <c r="G18" s="30" t="n">
        <v>116994.15</v>
      </c>
      <c r="H18" s="30" t="n">
        <v>119802.72</v>
      </c>
      <c r="I18" s="31" t="n">
        <v>2808.57</v>
      </c>
      <c r="J18" s="32">
        <f>I18/G18</f>
        <v/>
      </c>
      <c r="K18" s="32" t="n">
        <v>0.0231</v>
      </c>
    </row>
    <row r="19" ht="15" customHeight="1" s="23">
      <c r="A19" s="28" t="inlineStr">
        <is>
          <t>Aditya Birla SL Credit Risk Fund Direct Growth (2)</t>
        </is>
      </c>
      <c r="B19" s="29" t="inlineStr">
        <is>
          <t>ABSL</t>
        </is>
      </c>
      <c r="C19" s="29" t="inlineStr">
        <is>
          <t>Debt</t>
        </is>
      </c>
      <c r="D19" s="29" t="inlineStr">
        <is>
          <t>Credit Risk</t>
        </is>
      </c>
      <c r="E19" s="29" t="inlineStr">
        <is>
          <t>Groww</t>
        </is>
      </c>
      <c r="F19" s="29" t="n">
        <v>377.368</v>
      </c>
      <c r="G19" s="30" t="n">
        <v>8499.57</v>
      </c>
      <c r="H19" s="30" t="n">
        <v>10506.83</v>
      </c>
      <c r="I19" s="31" t="n">
        <v>2007.26</v>
      </c>
      <c r="J19" s="32">
        <f>I19/G19</f>
        <v/>
      </c>
      <c r="K19" s="32" t="n">
        <v>0.152</v>
      </c>
    </row>
    <row r="20" ht="15" customHeight="1" s="23">
      <c r="A20" s="28" t="inlineStr">
        <is>
          <t>ICICI Pru Large Cap Fund Growth</t>
        </is>
      </c>
      <c r="B20" s="29" t="inlineStr">
        <is>
          <t>ICICI Pru</t>
        </is>
      </c>
      <c r="C20" s="29" t="inlineStr">
        <is>
          <t>Equity</t>
        </is>
      </c>
      <c r="D20" s="29" t="inlineStr">
        <is>
          <t>Large Cap</t>
        </is>
      </c>
      <c r="E20" s="29" t="inlineStr">
        <is>
          <t>External</t>
        </is>
      </c>
      <c r="F20" s="29" t="n">
        <v>1086.814</v>
      </c>
      <c r="G20" s="30" t="n">
        <v>116993.75</v>
      </c>
      <c r="H20" s="30" t="n">
        <v>118256.23</v>
      </c>
      <c r="I20" s="31" t="n">
        <v>1262.48</v>
      </c>
      <c r="J20" s="32">
        <f>I20/G20</f>
        <v/>
      </c>
      <c r="K20" s="32" t="n">
        <v>0.0104</v>
      </c>
    </row>
    <row r="21" ht="15" customHeight="1" s="23">
      <c r="A21" s="28" t="inlineStr">
        <is>
          <t>Templeton India Value Fund Growth</t>
        </is>
      </c>
      <c r="B21" s="29" t="inlineStr">
        <is>
          <t>Franklin Templeton</t>
        </is>
      </c>
      <c r="C21" s="29" t="inlineStr">
        <is>
          <t>Equity</t>
        </is>
      </c>
      <c r="D21" s="29" t="inlineStr">
        <is>
          <t>Value</t>
        </is>
      </c>
      <c r="E21" s="29" t="inlineStr">
        <is>
          <t>External</t>
        </is>
      </c>
      <c r="F21" s="29" t="n">
        <v>148.835</v>
      </c>
      <c r="G21" s="30" t="n">
        <v>84521.35000000001</v>
      </c>
      <c r="H21" s="30" t="n">
        <v>104292.84</v>
      </c>
      <c r="I21" s="31" t="n">
        <v>19771.48</v>
      </c>
      <c r="J21" s="32">
        <f>I21/G21</f>
        <v/>
      </c>
      <c r="K21" s="32" t="n">
        <v>0.08309999999999999</v>
      </c>
    </row>
    <row r="22" ht="15" customHeight="1" s="23">
      <c r="A22" s="28" t="inlineStr">
        <is>
          <t>PGIM India Dynamic Bond Fund Direct Growth</t>
        </is>
      </c>
      <c r="B22" s="29" t="inlineStr">
        <is>
          <t>PGIM India</t>
        </is>
      </c>
      <c r="C22" s="29" t="inlineStr">
        <is>
          <t>Debt</t>
        </is>
      </c>
      <c r="D22" s="29" t="inlineStr">
        <is>
          <t>Dynamic Bond</t>
        </is>
      </c>
      <c r="E22" s="29" t="inlineStr">
        <is>
          <t>Groww</t>
        </is>
      </c>
      <c r="F22" s="29" t="n">
        <v>25.879</v>
      </c>
      <c r="G22" s="30" t="n">
        <v>76495.95</v>
      </c>
      <c r="H22" s="30" t="n">
        <v>80518.50999999999</v>
      </c>
      <c r="I22" s="31" t="n">
        <v>4022.56</v>
      </c>
      <c r="J22" s="32">
        <f>I22/G22</f>
        <v/>
      </c>
      <c r="K22" s="32" t="n">
        <v>0.0435</v>
      </c>
    </row>
    <row r="23" ht="15" customHeight="1" s="23">
      <c r="A23" s="28" t="inlineStr">
        <is>
          <t>ICICI Pru Nifty 50 Index Fund Growth</t>
        </is>
      </c>
      <c r="B23" s="29" t="inlineStr">
        <is>
          <t>ICICI Pru</t>
        </is>
      </c>
      <c r="C23" s="29" t="inlineStr">
        <is>
          <t>Equity</t>
        </is>
      </c>
      <c r="D23" s="29" t="inlineStr">
        <is>
          <t>Large Cap</t>
        </is>
      </c>
      <c r="E23" s="29" t="inlineStr">
        <is>
          <t>External</t>
        </is>
      </c>
      <c r="F23" s="29" t="n">
        <v>470.688</v>
      </c>
      <c r="G23" s="30" t="n">
        <v>96595.16</v>
      </c>
      <c r="H23" s="30" t="n">
        <v>115474.22</v>
      </c>
      <c r="I23" s="31" t="n">
        <v>18879.05</v>
      </c>
      <c r="J23" s="32">
        <f>I23/G23</f>
        <v/>
      </c>
      <c r="K23" s="32" t="n">
        <v>0.0702</v>
      </c>
    </row>
    <row r="24" ht="15" customHeight="1" s="23">
      <c r="A24" s="28" t="inlineStr">
        <is>
          <t>Kotak Contra Fund Growth</t>
        </is>
      </c>
      <c r="B24" s="29" t="inlineStr">
        <is>
          <t>Kotak</t>
        </is>
      </c>
      <c r="C24" s="29" t="inlineStr">
        <is>
          <t>Equity</t>
        </is>
      </c>
      <c r="D24" s="29" t="inlineStr">
        <is>
          <t>Value</t>
        </is>
      </c>
      <c r="E24" s="29" t="inlineStr">
        <is>
          <t>External</t>
        </is>
      </c>
      <c r="F24" s="29" t="n">
        <v>596.573</v>
      </c>
      <c r="G24" s="30" t="n">
        <v>87735.64999999999</v>
      </c>
      <c r="H24" s="30" t="n">
        <v>92175.89999999999</v>
      </c>
      <c r="I24" s="31" t="n">
        <v>4440.25</v>
      </c>
      <c r="J24" s="32">
        <f>I24/G24</f>
        <v/>
      </c>
      <c r="K24" s="32" t="n">
        <v>0.0486</v>
      </c>
    </row>
    <row r="25" ht="15" customHeight="1" s="23">
      <c r="A25" s="28" t="inlineStr">
        <is>
          <t>Tata Small Cap Fund Growth</t>
        </is>
      </c>
      <c r="B25" s="29" t="inlineStr">
        <is>
          <t>Tata</t>
        </is>
      </c>
      <c r="C25" s="29" t="inlineStr">
        <is>
          <t>Equity</t>
        </is>
      </c>
      <c r="D25" s="29" t="inlineStr">
        <is>
          <t>Small Cap</t>
        </is>
      </c>
      <c r="E25" s="29" t="inlineStr">
        <is>
          <t>External</t>
        </is>
      </c>
      <c r="F25" s="29" t="n">
        <v>2765.88</v>
      </c>
      <c r="G25" s="30" t="n">
        <v>84520.69</v>
      </c>
      <c r="H25" s="30" t="n">
        <v>106658.42</v>
      </c>
      <c r="I25" s="31" t="n">
        <v>22137.73</v>
      </c>
      <c r="J25" s="32">
        <f>I25/G25</f>
        <v/>
      </c>
      <c r="K25" s="32" t="n">
        <v>0.09229999999999999</v>
      </c>
    </row>
    <row r="26" ht="15" customHeight="1" s="23">
      <c r="A26" s="33" t="inlineStr">
        <is>
          <t>TOTAL</t>
        </is>
      </c>
      <c r="B26" s="34" t="n"/>
      <c r="C26" s="34" t="n"/>
      <c r="D26" s="34" t="n"/>
      <c r="E26" s="34" t="n"/>
      <c r="F26" s="34" t="n"/>
      <c r="G26" s="35">
        <f>SUM(G4:G25)</f>
        <v/>
      </c>
      <c r="H26" s="35">
        <f>SUM(H4:H25)</f>
        <v/>
      </c>
      <c r="I26" s="35">
        <f>SUM(I4:I25)</f>
        <v/>
      </c>
      <c r="J26" s="36">
        <f>I26/G26</f>
        <v/>
      </c>
      <c r="K26" s="34" t="n"/>
    </row>
  </sheetData>
  <mergeCells count="1"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BF8F00"/>
    <outlinePr summaryBelow="1" summaryRight="1"/>
    <pageSetUpPr fitToPage="0"/>
  </sheetPr>
  <dimension ref="A1:I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32" customWidth="1" style="22" min="1" max="1"/>
    <col width="16" customWidth="1" style="22" min="2" max="2"/>
    <col width="8" customWidth="1" style="22" min="3" max="3"/>
    <col width="18" customWidth="1" style="22" min="4" max="4"/>
    <col width="16" customWidth="1" style="22" min="5" max="5"/>
    <col width="14" customWidth="1" style="22" min="6" max="6"/>
    <col width="18" customWidth="1" style="22" min="7" max="7"/>
    <col width="16" customWidth="1" style="22" min="8" max="8"/>
    <col width="12" customWidth="1" style="22" min="9" max="9"/>
  </cols>
  <sheetData>
    <row r="1" ht="17.35" customHeight="1" s="23">
      <c r="A1" s="43" t="inlineStr">
        <is>
          <t>Indian Stock Holdings (Groww) — As on 20 July 2026</t>
        </is>
      </c>
    </row>
    <row r="3" ht="15" customHeight="1" s="23">
      <c r="A3" s="27" t="inlineStr">
        <is>
          <t>Stock Name</t>
        </is>
      </c>
      <c r="B3" s="27" t="inlineStr">
        <is>
          <t>ISIN</t>
        </is>
      </c>
      <c r="C3" s="27" t="inlineStr">
        <is>
          <t>Qty</t>
        </is>
      </c>
      <c r="D3" s="27" t="inlineStr">
        <is>
          <t>Avg Buy Price (₹)</t>
        </is>
      </c>
      <c r="E3" s="27" t="inlineStr">
        <is>
          <t>Invested (₹)</t>
        </is>
      </c>
      <c r="F3" s="27" t="inlineStr">
        <is>
          <t>CMP (₹)</t>
        </is>
      </c>
      <c r="G3" s="27" t="inlineStr">
        <is>
          <t>Current Value (₹)</t>
        </is>
      </c>
      <c r="H3" s="27" t="inlineStr">
        <is>
          <t>P&amp;L (₹)</t>
        </is>
      </c>
      <c r="I3" s="27" t="inlineStr">
        <is>
          <t>P&amp;L %</t>
        </is>
      </c>
    </row>
    <row r="4" ht="15" customHeight="1" s="23">
      <c r="A4" s="28" t="inlineStr">
        <is>
          <t>Adani Ports &amp; SEZ</t>
        </is>
      </c>
      <c r="B4" s="29" t="inlineStr">
        <is>
          <t>INE742F01042</t>
        </is>
      </c>
      <c r="C4" s="29" t="n">
        <v>10</v>
      </c>
      <c r="D4" s="30" t="n">
        <v>1337.31</v>
      </c>
      <c r="E4" s="30" t="n">
        <v>13373.1</v>
      </c>
      <c r="F4" s="30" t="n">
        <v>1844</v>
      </c>
      <c r="G4" s="30" t="n">
        <v>18440</v>
      </c>
      <c r="H4" s="31" t="n">
        <v>5066.9</v>
      </c>
      <c r="I4" s="32">
        <f>IF(E4=0,"N/A",H4/E4)</f>
        <v/>
      </c>
    </row>
    <row r="5" ht="15" customHeight="1" s="23">
      <c r="A5" s="28" t="inlineStr">
        <is>
          <t>Affle (India)</t>
        </is>
      </c>
      <c r="B5" s="29" t="inlineStr">
        <is>
          <t>INE00WC01027</t>
        </is>
      </c>
      <c r="C5" s="29" t="n">
        <v>9</v>
      </c>
      <c r="D5" s="30" t="n">
        <v>1684.81</v>
      </c>
      <c r="E5" s="30" t="n">
        <v>15163.29</v>
      </c>
      <c r="F5" s="30" t="n">
        <v>1518.3</v>
      </c>
      <c r="G5" s="30" t="n">
        <v>13664.7</v>
      </c>
      <c r="H5" s="44" t="n">
        <v>-1498.59</v>
      </c>
      <c r="I5" s="32">
        <f>IF(E5=0,"N/A",H5/E5)</f>
        <v/>
      </c>
    </row>
    <row r="6" ht="15" customHeight="1" s="23">
      <c r="A6" s="28" t="inlineStr">
        <is>
          <t>Axis Bank</t>
        </is>
      </c>
      <c r="B6" s="29" t="inlineStr">
        <is>
          <t>INE238A01034</t>
        </is>
      </c>
      <c r="C6" s="29" t="n">
        <v>13</v>
      </c>
      <c r="D6" s="30" t="n">
        <v>1032.07</v>
      </c>
      <c r="E6" s="30" t="n">
        <v>13416.91</v>
      </c>
      <c r="F6" s="30" t="n">
        <v>1256</v>
      </c>
      <c r="G6" s="30" t="n">
        <v>16328</v>
      </c>
      <c r="H6" s="31" t="n">
        <v>2911.09</v>
      </c>
      <c r="I6" s="32">
        <f>IF(E6=0,"N/A",H6/E6)</f>
        <v/>
      </c>
    </row>
    <row r="7" ht="15" customHeight="1" s="23">
      <c r="A7" s="28" t="inlineStr">
        <is>
          <t>Eternal (Zomato)</t>
        </is>
      </c>
      <c r="B7" s="29" t="inlineStr">
        <is>
          <t>INE758T01015</t>
        </is>
      </c>
      <c r="C7" s="29" t="n">
        <v>12</v>
      </c>
      <c r="D7" s="30" t="n">
        <v>258.2</v>
      </c>
      <c r="E7" s="30" t="n">
        <v>3098.4</v>
      </c>
      <c r="F7" s="30" t="n">
        <v>286.95</v>
      </c>
      <c r="G7" s="30" t="n">
        <v>3443.4</v>
      </c>
      <c r="H7" s="31" t="n">
        <v>345</v>
      </c>
      <c r="I7" s="32">
        <f>IF(E7=0,"N/A",H7/E7)</f>
        <v/>
      </c>
    </row>
    <row r="8" ht="15" customHeight="1" s="23">
      <c r="A8" s="28" t="inlineStr">
        <is>
          <t>Godrej Properties</t>
        </is>
      </c>
      <c r="B8" s="29" t="inlineStr">
        <is>
          <t>INE484J01027</t>
        </is>
      </c>
      <c r="C8" s="29" t="n">
        <v>3</v>
      </c>
      <c r="D8" s="30" t="n">
        <v>2967.02</v>
      </c>
      <c r="E8" s="30" t="n">
        <v>8901.059999999999</v>
      </c>
      <c r="F8" s="30" t="n">
        <v>2118.7</v>
      </c>
      <c r="G8" s="30" t="n">
        <v>6356.1</v>
      </c>
      <c r="H8" s="44" t="n">
        <v>-2544.96</v>
      </c>
      <c r="I8" s="32">
        <f>IF(E8=0,"N/A",H8/E8)</f>
        <v/>
      </c>
    </row>
    <row r="9" ht="15" customHeight="1" s="23">
      <c r="A9" s="28" t="inlineStr">
        <is>
          <t>Hindustan Unilever</t>
        </is>
      </c>
      <c r="B9" s="29" t="inlineStr">
        <is>
          <t>INE030A01027</t>
        </is>
      </c>
      <c r="C9" s="29" t="n">
        <v>8</v>
      </c>
      <c r="D9" s="30" t="n">
        <v>2371.31</v>
      </c>
      <c r="E9" s="30" t="n">
        <v>18970.48</v>
      </c>
      <c r="F9" s="30" t="n">
        <v>2139.7</v>
      </c>
      <c r="G9" s="30" t="n">
        <v>17117.6</v>
      </c>
      <c r="H9" s="44" t="n">
        <v>-1852.88</v>
      </c>
      <c r="I9" s="32">
        <f>IF(E9=0,"N/A",H9/E9)</f>
        <v/>
      </c>
    </row>
    <row r="10" ht="15" customHeight="1" s="23">
      <c r="A10" s="28" t="inlineStr">
        <is>
          <t>IRFC</t>
        </is>
      </c>
      <c r="B10" s="29" t="inlineStr">
        <is>
          <t>INE053F01010</t>
        </is>
      </c>
      <c r="C10" s="29" t="n">
        <v>15</v>
      </c>
      <c r="D10" s="30" t="n">
        <v>157.35</v>
      </c>
      <c r="E10" s="30" t="n">
        <v>2360.25</v>
      </c>
      <c r="F10" s="30" t="n">
        <v>88.72</v>
      </c>
      <c r="G10" s="30" t="n">
        <v>1330.8</v>
      </c>
      <c r="H10" s="44" t="n">
        <v>-1029.45</v>
      </c>
      <c r="I10" s="32">
        <f>IF(E10=0,"N/A",H10/E10)</f>
        <v/>
      </c>
    </row>
    <row r="11" ht="15" customHeight="1" s="23">
      <c r="A11" s="28" t="inlineStr">
        <is>
          <t>IndusInd Bank</t>
        </is>
      </c>
      <c r="B11" s="29" t="inlineStr">
        <is>
          <t>INE095A01012</t>
        </is>
      </c>
      <c r="C11" s="29" t="n">
        <v>9</v>
      </c>
      <c r="D11" s="30" t="n">
        <v>1009.29</v>
      </c>
      <c r="E11" s="30" t="n">
        <v>9083.610000000001</v>
      </c>
      <c r="F11" s="30" t="n">
        <v>1032.85</v>
      </c>
      <c r="G11" s="30" t="n">
        <v>9295.65</v>
      </c>
      <c r="H11" s="31" t="n">
        <v>212.04</v>
      </c>
      <c r="I11" s="32">
        <f>IF(E11=0,"N/A",H11/E11)</f>
        <v/>
      </c>
    </row>
    <row r="12" ht="15" customHeight="1" s="23">
      <c r="A12" s="28" t="inlineStr">
        <is>
          <t>InterGlobe Aviation (IndiGo)</t>
        </is>
      </c>
      <c r="B12" s="29" t="inlineStr">
        <is>
          <t>INE646L01027</t>
        </is>
      </c>
      <c r="C12" s="29" t="n">
        <v>2</v>
      </c>
      <c r="D12" s="30" t="n">
        <v>4999.5</v>
      </c>
      <c r="E12" s="30" t="n">
        <v>9999</v>
      </c>
      <c r="F12" s="30" t="n">
        <v>5229</v>
      </c>
      <c r="G12" s="30" t="n">
        <v>10458</v>
      </c>
      <c r="H12" s="31" t="n">
        <v>459</v>
      </c>
      <c r="I12" s="32">
        <f>IF(E12=0,"N/A",H12/E12)</f>
        <v/>
      </c>
    </row>
    <row r="13" ht="15" customHeight="1" s="23">
      <c r="A13" s="28" t="inlineStr">
        <is>
          <t>ITC</t>
        </is>
      </c>
      <c r="B13" s="29" t="inlineStr">
        <is>
          <t>INE154A01025</t>
        </is>
      </c>
      <c r="C13" s="29" t="n">
        <v>25</v>
      </c>
      <c r="D13" s="30" t="n">
        <v>439</v>
      </c>
      <c r="E13" s="30" t="n">
        <v>10975</v>
      </c>
      <c r="F13" s="30" t="n">
        <v>282.7</v>
      </c>
      <c r="G13" s="30" t="n">
        <v>7067.5</v>
      </c>
      <c r="H13" s="44" t="n">
        <v>-3907.5</v>
      </c>
      <c r="I13" s="32">
        <f>IF(E13=0,"N/A",H13/E13)</f>
        <v/>
      </c>
    </row>
    <row r="14" ht="15" customHeight="1" s="23">
      <c r="A14" s="28" t="inlineStr">
        <is>
          <t>Mirae Asset FANG+ ETF</t>
        </is>
      </c>
      <c r="B14" s="29" t="inlineStr">
        <is>
          <t>INF769K01HF4</t>
        </is>
      </c>
      <c r="C14" s="29" t="n">
        <v>424</v>
      </c>
      <c r="D14" s="30" t="n">
        <v>129.02</v>
      </c>
      <c r="E14" s="30" t="n">
        <v>54704.48</v>
      </c>
      <c r="F14" s="30" t="n">
        <v>198.67</v>
      </c>
      <c r="G14" s="30" t="n">
        <v>84236.08</v>
      </c>
      <c r="H14" s="31" t="n">
        <v>29531.6</v>
      </c>
      <c r="I14" s="32">
        <f>IF(E14=0,"N/A",H14/E14)</f>
        <v/>
      </c>
    </row>
    <row r="15" ht="15" customHeight="1" s="23">
      <c r="A15" s="28" t="inlineStr">
        <is>
          <t>NTPC Green Energy</t>
        </is>
      </c>
      <c r="B15" s="29" t="inlineStr">
        <is>
          <t>INE0ONG01011</t>
        </is>
      </c>
      <c r="C15" s="29" t="n">
        <v>138</v>
      </c>
      <c r="D15" s="30" t="n">
        <v>108</v>
      </c>
      <c r="E15" s="30" t="n">
        <v>14904</v>
      </c>
      <c r="F15" s="30" t="n">
        <v>91.98</v>
      </c>
      <c r="G15" s="30" t="n">
        <v>12693.24</v>
      </c>
      <c r="H15" s="44" t="n">
        <v>-2210.76</v>
      </c>
      <c r="I15" s="32">
        <f>IF(E15=0,"N/A",H15/E15)</f>
        <v/>
      </c>
    </row>
    <row r="16" ht="15" customHeight="1" s="23">
      <c r="A16" s="28" t="inlineStr">
        <is>
          <t>SBI ETF PSU Bank</t>
        </is>
      </c>
      <c r="B16" s="29" t="inlineStr">
        <is>
          <t>INF200KA1S22</t>
        </is>
      </c>
      <c r="C16" s="29" t="n">
        <v>133</v>
      </c>
      <c r="D16" s="30" t="n">
        <v>260.5</v>
      </c>
      <c r="E16" s="30" t="n">
        <v>34646.5</v>
      </c>
      <c r="F16" s="30" t="n">
        <v>284.72</v>
      </c>
      <c r="G16" s="30" t="n">
        <v>37867.76</v>
      </c>
      <c r="H16" s="31" t="n">
        <v>3221.26</v>
      </c>
      <c r="I16" s="32">
        <f>IF(E16=0,"N/A",H16/E16)</f>
        <v/>
      </c>
    </row>
    <row r="17" ht="15" customHeight="1" s="23">
      <c r="A17" s="28" t="inlineStr">
        <is>
          <t>Tata Motors</t>
        </is>
      </c>
      <c r="B17" s="29" t="inlineStr">
        <is>
          <t>INE1TAE01010</t>
        </is>
      </c>
      <c r="C17" s="29" t="n">
        <v>24</v>
      </c>
      <c r="D17" s="30" t="n">
        <v>235.87</v>
      </c>
      <c r="E17" s="30" t="n">
        <v>5660.88</v>
      </c>
      <c r="F17" s="30" t="n">
        <v>409.35</v>
      </c>
      <c r="G17" s="30" t="n">
        <v>9824.4</v>
      </c>
      <c r="H17" s="31" t="n">
        <v>4163.52</v>
      </c>
      <c r="I17" s="32">
        <f>IF(E17=0,"N/A",H17/E17)</f>
        <v/>
      </c>
    </row>
    <row r="18" ht="15" customHeight="1" s="23">
      <c r="A18" s="28" t="inlineStr">
        <is>
          <t>Tata Motors Pass Veh (demerged)</t>
        </is>
      </c>
      <c r="B18" s="29" t="inlineStr">
        <is>
          <t>INE155A01022</t>
        </is>
      </c>
      <c r="C18" s="29" t="n">
        <v>24</v>
      </c>
      <c r="D18" s="30" t="n">
        <v>521.34</v>
      </c>
      <c r="E18" s="30" t="n">
        <v>12512.16</v>
      </c>
      <c r="F18" s="30" t="n">
        <v>336.45</v>
      </c>
      <c r="G18" s="30" t="n">
        <v>8074.8</v>
      </c>
      <c r="H18" s="44" t="n">
        <v>-4437.36</v>
      </c>
      <c r="I18" s="32">
        <f>IF(E18=0,"N/A",H18/E18)</f>
        <v/>
      </c>
    </row>
    <row r="19" ht="15" customHeight="1" s="23">
      <c r="A19" s="28" t="inlineStr">
        <is>
          <t>GE Shipping</t>
        </is>
      </c>
      <c r="B19" s="29" t="inlineStr">
        <is>
          <t>INE017A01032</t>
        </is>
      </c>
      <c r="C19" s="29" t="n">
        <v>4</v>
      </c>
      <c r="D19" s="30" t="n">
        <v>1141.5</v>
      </c>
      <c r="E19" s="30" t="n">
        <v>4566</v>
      </c>
      <c r="F19" s="30" t="n">
        <v>1387.1</v>
      </c>
      <c r="G19" s="30" t="n">
        <v>5548.4</v>
      </c>
      <c r="H19" s="31" t="n">
        <v>982.4</v>
      </c>
      <c r="I19" s="32">
        <f>IF(E19=0,"N/A",H19/E19)</f>
        <v/>
      </c>
    </row>
    <row r="20" ht="15" customHeight="1" s="23">
      <c r="A20" s="28" t="inlineStr">
        <is>
          <t>Titagarh Rail Systems</t>
        </is>
      </c>
      <c r="B20" s="29" t="inlineStr">
        <is>
          <t>INE615H01020</t>
        </is>
      </c>
      <c r="C20" s="29" t="n">
        <v>4</v>
      </c>
      <c r="D20" s="30" t="n">
        <v>1134.17</v>
      </c>
      <c r="E20" s="30" t="n">
        <v>4536.68</v>
      </c>
      <c r="F20" s="30" t="n">
        <v>867.2</v>
      </c>
      <c r="G20" s="30" t="n">
        <v>3468.8</v>
      </c>
      <c r="H20" s="44" t="n">
        <v>-1067.88</v>
      </c>
      <c r="I20" s="32">
        <f>IF(E20=0,"N/A",H20/E20)</f>
        <v/>
      </c>
    </row>
    <row r="21" ht="15" customHeight="1" s="23">
      <c r="A21" s="28" t="inlineStr">
        <is>
          <t>Welspun Living</t>
        </is>
      </c>
      <c r="B21" s="29" t="inlineStr">
        <is>
          <t>INE192B01031</t>
        </is>
      </c>
      <c r="C21" s="29" t="n">
        <v>96</v>
      </c>
      <c r="D21" s="30" t="n">
        <v>151.98</v>
      </c>
      <c r="E21" s="30" t="n">
        <v>14590.08</v>
      </c>
      <c r="F21" s="30" t="n">
        <v>163.38</v>
      </c>
      <c r="G21" s="30" t="n">
        <v>15684.48</v>
      </c>
      <c r="H21" s="31" t="n">
        <v>1094.4</v>
      </c>
      <c r="I21" s="32">
        <f>IF(E21=0,"N/A",H21/E21)</f>
        <v/>
      </c>
    </row>
    <row r="22" ht="15" customHeight="1" s="23">
      <c r="A22" s="28" t="inlineStr">
        <is>
          <t>Indel Money (Bond/NCD)</t>
        </is>
      </c>
      <c r="B22" s="29" t="inlineStr">
        <is>
          <t>INE0BUS07BN6</t>
        </is>
      </c>
      <c r="C22" s="29" t="n">
        <v>19</v>
      </c>
      <c r="D22" s="30" t="n">
        <v>0</v>
      </c>
      <c r="E22" s="30" t="n">
        <v>0</v>
      </c>
      <c r="F22" s="30" t="n">
        <v>100.1</v>
      </c>
      <c r="G22" s="30" t="n">
        <v>1901.86</v>
      </c>
      <c r="H22" s="31" t="n">
        <v>1901.86</v>
      </c>
      <c r="I22" s="32">
        <f>IF(E22=0,"N/A",H22/E22)</f>
        <v/>
      </c>
    </row>
    <row r="23" ht="15" customHeight="1" s="23">
      <c r="A23" s="33" t="inlineStr">
        <is>
          <t>TOTAL</t>
        </is>
      </c>
      <c r="B23" s="34" t="n"/>
      <c r="C23" s="34" t="n"/>
      <c r="D23" s="34" t="n"/>
      <c r="E23" s="35">
        <f>SUM(E4:E22)</f>
        <v/>
      </c>
      <c r="F23" s="34" t="n"/>
      <c r="G23" s="35">
        <f>SUM(G4:G22)</f>
        <v/>
      </c>
      <c r="H23" s="35">
        <f>SUM(H4:H22)</f>
        <v/>
      </c>
      <c r="I23" s="36">
        <f>H23/E23</f>
        <v/>
      </c>
    </row>
    <row r="24"/>
    <row r="25" ht="15" customHeight="1" s="23">
      <c r="A25" s="37" t="inlineStr">
        <is>
          <t>Note: Mirae FANG+ ETF and SBI PSU Bank ETF are ETFs held in demat, shown here with stocks. AFL &amp; SEC RE NCDs excluded (zero value).</t>
        </is>
      </c>
    </row>
    <row r="26"/>
    <row r="27" ht="15" customHeight="1" s="23">
      <c r="A27" s="26" t="inlineStr">
        <is>
          <t>FY 2025-26 Realised P&amp;L Summary</t>
        </is>
      </c>
    </row>
    <row r="28" ht="15" customHeight="1" s="23">
      <c r="A28" s="22" t="inlineStr">
        <is>
          <t>Total Realised P&amp;L</t>
        </is>
      </c>
      <c r="B28" s="45" t="n">
        <v>6244.66</v>
      </c>
    </row>
    <row r="29" ht="15" customHeight="1" s="23">
      <c r="A29" s="22" t="inlineStr">
        <is>
          <t>Total Charges (incl. brokerage, STT, GST)</t>
        </is>
      </c>
      <c r="B29" s="45" t="n">
        <v>828.0700000000001</v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C00000"/>
    <outlinePr summaryBelow="1" summaryRight="1"/>
    <pageSetUpPr fitToPage="0"/>
  </sheetPr>
  <dimension ref="A1:G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2" min="1" max="1"/>
    <col width="22" customWidth="1" style="22" min="2" max="2"/>
    <col width="10" customWidth="1" style="22" min="3" max="3"/>
    <col width="16" customWidth="1" style="22" min="4" max="4"/>
    <col width="18" customWidth="1" style="22" min="5" max="5"/>
    <col width="22" customWidth="1" style="22" min="6" max="6"/>
  </cols>
  <sheetData>
    <row r="1" ht="17.35" customHeight="1" s="23">
      <c r="A1" s="43" t="inlineStr">
        <is>
          <t>US Stock &amp; ETF Holdings (INDmoney / DriveWealth) — As on 21 July 2026</t>
        </is>
      </c>
    </row>
    <row r="3" ht="15" customHeight="1" s="23">
      <c r="A3" s="27" t="inlineStr">
        <is>
          <t>Symbol</t>
        </is>
      </c>
      <c r="B3" s="27" t="inlineStr">
        <is>
          <t>Holding Since</t>
        </is>
      </c>
      <c r="C3" s="27" t="inlineStr">
        <is>
          <t>Qty</t>
        </is>
      </c>
      <c r="D3" s="27" t="inlineStr">
        <is>
          <t>Avg Price ($)</t>
        </is>
      </c>
      <c r="E3" s="27" t="inlineStr">
        <is>
          <t>Total Value ($)</t>
        </is>
      </c>
      <c r="F3" s="27" t="inlineStr">
        <is>
          <t>Type</t>
        </is>
      </c>
    </row>
    <row r="4" ht="15" customHeight="1" s="23">
      <c r="A4" s="28" t="inlineStr">
        <is>
          <t>VTV</t>
        </is>
      </c>
      <c r="B4" s="29" t="inlineStr">
        <is>
          <t>09 Jun 2026</t>
        </is>
      </c>
      <c r="C4" s="29" t="n">
        <v>1.608</v>
      </c>
      <c r="D4" s="46" t="n">
        <v>214.53</v>
      </c>
      <c r="E4" s="46" t="n">
        <v>345</v>
      </c>
      <c r="F4" s="29" t="inlineStr">
        <is>
          <t>ETF (Value)</t>
        </is>
      </c>
    </row>
    <row r="5" ht="15" customHeight="1" s="23">
      <c r="A5" s="28" t="inlineStr">
        <is>
          <t>DDOG</t>
        </is>
      </c>
      <c r="B5" s="29" t="inlineStr">
        <is>
          <t>29 Sep 2025</t>
        </is>
      </c>
      <c r="C5" s="29" t="n">
        <v>0.464</v>
      </c>
      <c r="D5" s="46" t="n">
        <v>144.42</v>
      </c>
      <c r="E5" s="46" t="n">
        <v>67</v>
      </c>
      <c r="F5" s="29" t="inlineStr">
        <is>
          <t>Stock (SaaS)</t>
        </is>
      </c>
    </row>
    <row r="6" ht="15" customHeight="1" s="23">
      <c r="A6" s="28" t="inlineStr">
        <is>
          <t>ROBO</t>
        </is>
      </c>
      <c r="B6" s="29" t="inlineStr">
        <is>
          <t>29 Sep 2025</t>
        </is>
      </c>
      <c r="C6" s="29" t="n">
        <v>6.78</v>
      </c>
      <c r="D6" s="46" t="n">
        <v>71.23999999999999</v>
      </c>
      <c r="E6" s="46" t="n">
        <v>483</v>
      </c>
      <c r="F6" s="29" t="inlineStr">
        <is>
          <t>ETF (AI/Robotics)</t>
        </is>
      </c>
    </row>
    <row r="7" ht="15" customHeight="1" s="23">
      <c r="A7" s="28" t="inlineStr">
        <is>
          <t>AIEQ</t>
        </is>
      </c>
      <c r="B7" s="29" t="inlineStr">
        <is>
          <t>21 Jan 2025</t>
        </is>
      </c>
      <c r="C7" s="29" t="n">
        <v>2.767</v>
      </c>
      <c r="D7" s="46" t="n">
        <v>41.29</v>
      </c>
      <c r="E7" s="46" t="n">
        <v>114.24</v>
      </c>
      <c r="F7" s="29" t="inlineStr">
        <is>
          <t>ETF (AI)</t>
        </is>
      </c>
    </row>
    <row r="8" ht="15" customHeight="1" s="23">
      <c r="A8" s="28" t="inlineStr">
        <is>
          <t>AMZN</t>
        </is>
      </c>
      <c r="B8" s="29" t="inlineStr">
        <is>
          <t>08 Mar 2025</t>
        </is>
      </c>
      <c r="C8" s="29" t="n">
        <v>0.865</v>
      </c>
      <c r="D8" s="46" t="n">
        <v>229.94</v>
      </c>
      <c r="E8" s="46" t="n">
        <v>199</v>
      </c>
      <c r="F8" s="29" t="inlineStr">
        <is>
          <t>Stock (Big Tech)</t>
        </is>
      </c>
    </row>
    <row r="9" ht="15" customHeight="1" s="23">
      <c r="A9" s="28" t="inlineStr">
        <is>
          <t>CRWD</t>
        </is>
      </c>
      <c r="B9" s="29" t="inlineStr">
        <is>
          <t>29 Sep 2025</t>
        </is>
      </c>
      <c r="C9" s="29" t="n">
        <v>0.547</v>
      </c>
      <c r="D9" s="46" t="n">
        <v>122.47</v>
      </c>
      <c r="E9" s="46" t="n">
        <v>67</v>
      </c>
      <c r="F9" s="29" t="inlineStr">
        <is>
          <t>Stock (Cybersecurity)</t>
        </is>
      </c>
    </row>
    <row r="10" ht="15" customHeight="1" s="23">
      <c r="A10" s="28" t="inlineStr">
        <is>
          <t>MELI</t>
        </is>
      </c>
      <c r="B10" s="29" t="inlineStr">
        <is>
          <t>12 Dec 2025</t>
        </is>
      </c>
      <c r="C10" s="29" t="n">
        <v>0.025</v>
      </c>
      <c r="D10" s="46" t="n">
        <v>2020.56</v>
      </c>
      <c r="E10" s="46" t="n">
        <v>50</v>
      </c>
      <c r="F10" s="29" t="inlineStr">
        <is>
          <t>Stock (E-commerce)</t>
        </is>
      </c>
    </row>
    <row r="11" ht="15" customHeight="1" s="23">
      <c r="A11" s="28" t="inlineStr">
        <is>
          <t>NVO</t>
        </is>
      </c>
      <c r="B11" s="29" t="inlineStr">
        <is>
          <t>17 Nov 2025</t>
        </is>
      </c>
      <c r="C11" s="29" t="n">
        <v>2.045</v>
      </c>
      <c r="D11" s="46" t="n">
        <v>48.9</v>
      </c>
      <c r="E11" s="46" t="n">
        <v>100</v>
      </c>
      <c r="F11" s="29" t="inlineStr">
        <is>
          <t>Stock (Pharma)</t>
        </is>
      </c>
    </row>
    <row r="12" ht="15" customHeight="1" s="23">
      <c r="A12" s="28" t="inlineStr">
        <is>
          <t>SNOW</t>
        </is>
      </c>
      <c r="B12" s="29" t="inlineStr">
        <is>
          <t>29 Sep 2025</t>
        </is>
      </c>
      <c r="C12" s="29" t="n">
        <v>0.393</v>
      </c>
      <c r="D12" s="46" t="n">
        <v>226.51</v>
      </c>
      <c r="E12" s="46" t="n">
        <v>89</v>
      </c>
      <c r="F12" s="29" t="inlineStr">
        <is>
          <t>Stock (Data/AI)</t>
        </is>
      </c>
    </row>
    <row r="13" ht="15" customHeight="1" s="23">
      <c r="A13" s="28" t="inlineStr">
        <is>
          <t>AAPL</t>
        </is>
      </c>
      <c r="B13" s="29" t="inlineStr">
        <is>
          <t>04 Mar 2025</t>
        </is>
      </c>
      <c r="C13" s="29" t="n">
        <v>0.273</v>
      </c>
      <c r="D13" s="46" t="n">
        <v>256.49</v>
      </c>
      <c r="E13" s="46" t="n">
        <v>70</v>
      </c>
      <c r="F13" s="29" t="inlineStr">
        <is>
          <t>Stock (Big Tech)</t>
        </is>
      </c>
    </row>
    <row r="14" ht="15" customHeight="1" s="23">
      <c r="A14" s="28" t="inlineStr">
        <is>
          <t>GOOGL</t>
        </is>
      </c>
      <c r="B14" s="29" t="inlineStr">
        <is>
          <t>04 Mar 2025</t>
        </is>
      </c>
      <c r="C14" s="29" t="n">
        <v>1.474</v>
      </c>
      <c r="D14" s="46" t="n">
        <v>305.91</v>
      </c>
      <c r="E14" s="46" t="n">
        <v>451</v>
      </c>
      <c r="F14" s="29" t="inlineStr">
        <is>
          <t>Stock (Big Tech)</t>
        </is>
      </c>
    </row>
    <row r="15" ht="15" customHeight="1" s="23">
      <c r="A15" s="28" t="inlineStr">
        <is>
          <t>META</t>
        </is>
      </c>
      <c r="B15" s="29" t="inlineStr">
        <is>
          <t>17 Nov 2025</t>
        </is>
      </c>
      <c r="C15" s="29" t="n">
        <v>0.739</v>
      </c>
      <c r="D15" s="46" t="n">
        <v>608.64</v>
      </c>
      <c r="E15" s="46" t="n">
        <v>450</v>
      </c>
      <c r="F15" s="29" t="inlineStr">
        <is>
          <t>Stock (Big Tech)</t>
        </is>
      </c>
    </row>
    <row r="16" ht="15" customHeight="1" s="23">
      <c r="A16" s="28" t="inlineStr">
        <is>
          <t>MSFT</t>
        </is>
      </c>
      <c r="B16" s="29" t="inlineStr">
        <is>
          <t>04 Mar 2025</t>
        </is>
      </c>
      <c r="C16" s="29" t="n">
        <v>0.98</v>
      </c>
      <c r="D16" s="46" t="n">
        <v>420.26</v>
      </c>
      <c r="E16" s="46" t="n">
        <v>412</v>
      </c>
      <c r="F16" s="29" t="inlineStr">
        <is>
          <t>Stock (Big Tech)</t>
        </is>
      </c>
    </row>
    <row r="17" ht="15" customHeight="1" s="23">
      <c r="A17" s="28" t="inlineStr">
        <is>
          <t>NOW</t>
        </is>
      </c>
      <c r="B17" s="29" t="inlineStr">
        <is>
          <t>18 May 2026</t>
        </is>
      </c>
      <c r="C17" s="29" t="n">
        <v>3.95</v>
      </c>
      <c r="D17" s="46" t="n">
        <v>106.33</v>
      </c>
      <c r="E17" s="46" t="n">
        <v>420</v>
      </c>
      <c r="F17" s="29" t="inlineStr">
        <is>
          <t>Stock (SaaS)</t>
        </is>
      </c>
    </row>
    <row r="18" ht="15" customHeight="1" s="23">
      <c r="A18" s="28" t="inlineStr">
        <is>
          <t>SMH</t>
        </is>
      </c>
      <c r="B18" s="29" t="inlineStr">
        <is>
          <t>29 Sep 2025</t>
        </is>
      </c>
      <c r="C18" s="29" t="n">
        <v>1.57</v>
      </c>
      <c r="D18" s="46" t="n">
        <v>370.69</v>
      </c>
      <c r="E18" s="46" t="n">
        <v>582</v>
      </c>
      <c r="F18" s="29" t="inlineStr">
        <is>
          <t>ETF (Semiconductors)</t>
        </is>
      </c>
    </row>
    <row r="19" ht="15" customHeight="1" s="23">
      <c r="A19" s="28" t="inlineStr">
        <is>
          <t>UNH</t>
        </is>
      </c>
      <c r="B19" s="29" t="inlineStr">
        <is>
          <t>17 Nov 2025</t>
        </is>
      </c>
      <c r="C19" s="29" t="n">
        <v>0.304</v>
      </c>
      <c r="D19" s="46" t="n">
        <v>328.65</v>
      </c>
      <c r="E19" s="46" t="n">
        <v>100</v>
      </c>
      <c r="F19" s="29" t="inlineStr">
        <is>
          <t>Stock (Healthcare)</t>
        </is>
      </c>
    </row>
    <row r="20" ht="15" customHeight="1" s="23">
      <c r="A20" s="28" t="inlineStr">
        <is>
          <t>PLTR</t>
        </is>
      </c>
      <c r="B20" s="29" t="inlineStr">
        <is>
          <t>29 Sep 2025</t>
        </is>
      </c>
      <c r="C20" s="29" t="n">
        <v>0.945</v>
      </c>
      <c r="D20" s="46" t="n">
        <v>171.32</v>
      </c>
      <c r="E20" s="46" t="n">
        <v>161.83</v>
      </c>
      <c r="F20" s="29" t="inlineStr">
        <is>
          <t>Stock (AI/Defense)</t>
        </is>
      </c>
    </row>
    <row r="21" ht="15" customHeight="1" s="23">
      <c r="A21" s="28" t="inlineStr">
        <is>
          <t>NVDA</t>
        </is>
      </c>
      <c r="B21" s="29" t="inlineStr">
        <is>
          <t>04 Mar 2025</t>
        </is>
      </c>
      <c r="C21" s="29" t="n">
        <v>1.066</v>
      </c>
      <c r="D21" s="46" t="n">
        <v>161.34</v>
      </c>
      <c r="E21" s="46" t="n">
        <v>172</v>
      </c>
      <c r="F21" s="29" t="inlineStr">
        <is>
          <t>Stock (Semiconductors)</t>
        </is>
      </c>
    </row>
    <row r="22" ht="15" customHeight="1" s="23">
      <c r="A22" s="33" t="inlineStr">
        <is>
          <t>TOTAL</t>
        </is>
      </c>
      <c r="B22" s="34" t="n"/>
      <c r="C22" s="34" t="n"/>
      <c r="D22" s="34" t="n"/>
      <c r="E22" s="47">
        <f>SUM(E4:E21)</f>
        <v/>
      </c>
      <c r="F22" s="34" t="n"/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7030A0"/>
    <outlinePr summaryBelow="1" summaryRight="1"/>
    <pageSetUpPr fitToPage="0"/>
  </sheetPr>
  <dimension ref="A1:L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22" min="1" max="1"/>
    <col width="16" customWidth="1" style="22" min="2" max="2"/>
    <col width="10" customWidth="1" style="22" min="3" max="3"/>
    <col width="14" customWidth="1" style="22" min="4" max="5"/>
    <col width="6" customWidth="1" style="22" min="6" max="6"/>
    <col width="16" customWidth="1" style="22" min="7" max="9"/>
    <col width="12" customWidth="1" style="22" min="10" max="10"/>
    <col width="10" customWidth="1" style="22" min="11" max="12"/>
  </cols>
  <sheetData>
    <row r="1" ht="17.35" customHeight="1" s="23">
      <c r="A1" s="43" t="inlineStr">
        <is>
          <t>Bond Holdings &amp; Capital Gains</t>
        </is>
      </c>
    </row>
    <row r="3" ht="15" customHeight="1" s="23">
      <c r="A3" s="26" t="inlineStr">
        <is>
          <t>Realised Bond Capital Gains — FY 2026-27</t>
        </is>
      </c>
    </row>
    <row r="5" ht="26.85" customHeight="1" s="23">
      <c r="A5" s="27" t="inlineStr">
        <is>
          <t>Bond Name</t>
        </is>
      </c>
      <c r="B5" s="27" t="inlineStr">
        <is>
          <t>ISIN</t>
        </is>
      </c>
      <c r="C5" s="27" t="inlineStr">
        <is>
          <t>Event</t>
        </is>
      </c>
      <c r="D5" s="27" t="inlineStr">
        <is>
          <t>Purchase Date</t>
        </is>
      </c>
      <c r="E5" s="27" t="inlineStr">
        <is>
          <t>Exit Date</t>
        </is>
      </c>
      <c r="F5" s="27" t="inlineStr">
        <is>
          <t>Qty</t>
        </is>
      </c>
      <c r="G5" s="27" t="inlineStr">
        <is>
          <t>Investment (₹)</t>
        </is>
      </c>
      <c r="H5" s="27" t="inlineStr">
        <is>
          <t>Exit Value (₹)</t>
        </is>
      </c>
      <c r="I5" s="27" t="inlineStr">
        <is>
          <t>Capital Gain (₹)</t>
        </is>
      </c>
      <c r="J5" s="27" t="inlineStr">
        <is>
          <t>Holding Days</t>
        </is>
      </c>
      <c r="K5" s="27" t="inlineStr">
        <is>
          <t>STCG/LTCG</t>
        </is>
      </c>
      <c r="L5" s="27" t="inlineStr">
        <is>
          <t>Tax Rate</t>
        </is>
      </c>
    </row>
    <row r="6" ht="15" customHeight="1" s="23">
      <c r="A6" s="28" t="inlineStr">
        <is>
          <t>Indel Aug'26</t>
        </is>
      </c>
      <c r="B6" s="29" t="inlineStr">
        <is>
          <t>INE0BUS07BN6</t>
        </is>
      </c>
      <c r="C6" s="29" t="inlineStr">
        <is>
          <t>Maturity</t>
        </is>
      </c>
      <c r="D6" s="29" t="inlineStr">
        <is>
          <t>04-Aug-2025</t>
        </is>
      </c>
      <c r="E6" s="29" t="inlineStr">
        <is>
          <t>18-Aug-2026</t>
        </is>
      </c>
      <c r="F6" s="29" t="n">
        <v>19</v>
      </c>
      <c r="G6" s="30" t="n">
        <v>188071.51</v>
      </c>
      <c r="H6" s="30" t="n">
        <v>190000</v>
      </c>
      <c r="I6" s="31" t="n">
        <v>1126.89</v>
      </c>
      <c r="J6" s="29" t="n">
        <v>379</v>
      </c>
      <c r="K6" s="29" t="inlineStr">
        <is>
          <t>LTCG</t>
        </is>
      </c>
      <c r="L6" s="29" t="inlineStr">
        <is>
          <t>12.5%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ED7D31"/>
    <outlinePr summaryBelow="1" summaryRight="1"/>
    <pageSetUpPr fitToPage="0"/>
  </sheetPr>
  <dimension ref="A1:D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2" min="1" max="1"/>
    <col width="18" customWidth="1" style="22" min="2" max="3"/>
    <col width="12" customWidth="1" style="22" min="4" max="4"/>
  </cols>
  <sheetData>
    <row r="1" ht="17.35" customHeight="1" s="23">
      <c r="A1" s="43" t="inlineStr">
        <is>
          <t>Asset Allocation Breakdown</t>
        </is>
      </c>
    </row>
    <row r="3" ht="15" customHeight="1" s="23">
      <c r="A3" s="26" t="inlineStr">
        <is>
          <t>Mutual Fund Allocation by Category</t>
        </is>
      </c>
    </row>
    <row r="4" ht="15" customHeight="1" s="23">
      <c r="A4" s="27" t="inlineStr">
        <is>
          <t>Category</t>
        </is>
      </c>
      <c r="B4" s="27" t="inlineStr">
        <is>
          <t>Invested (₹)</t>
        </is>
      </c>
      <c r="C4" s="27" t="inlineStr">
        <is>
          <t>Current Value (₹)</t>
        </is>
      </c>
      <c r="D4" s="27" t="inlineStr">
        <is>
          <t>Weight %</t>
        </is>
      </c>
    </row>
    <row r="5" ht="15" customHeight="1" s="23">
      <c r="A5" s="28" t="inlineStr">
        <is>
          <t>Debt — Credit Risk</t>
        </is>
      </c>
      <c r="B5" s="30" t="n">
        <v>144492.83</v>
      </c>
      <c r="C5" s="30" t="n">
        <v>161183.47</v>
      </c>
      <c r="D5" s="32">
        <f>C5/C15</f>
        <v/>
      </c>
    </row>
    <row r="6" ht="15" customHeight="1" s="23">
      <c r="A6" s="28" t="inlineStr">
        <is>
          <t>Debt — Dynamic Bond</t>
        </is>
      </c>
      <c r="B6" s="30" t="n">
        <v>76495.95</v>
      </c>
      <c r="C6" s="30" t="n">
        <v>80518.50999999999</v>
      </c>
      <c r="D6" s="32">
        <f>C6/C15</f>
        <v/>
      </c>
    </row>
    <row r="7" ht="15" customHeight="1" s="23">
      <c r="A7" s="28" t="inlineStr">
        <is>
          <t>Debt — Low Duration</t>
        </is>
      </c>
      <c r="B7" s="30" t="n">
        <v>50994.29</v>
      </c>
      <c r="C7" s="30" t="n">
        <v>53141.32</v>
      </c>
      <c r="D7" s="32">
        <f>C7/C15</f>
        <v/>
      </c>
    </row>
    <row r="8" ht="15" customHeight="1" s="23">
      <c r="A8" s="28" t="inlineStr">
        <is>
          <t>Equity — ELSS</t>
        </is>
      </c>
      <c r="B8" s="30" t="n">
        <v>116994.14</v>
      </c>
      <c r="C8" s="30" t="n">
        <v>197366.42</v>
      </c>
      <c r="D8" s="32">
        <f>C8/C15</f>
        <v/>
      </c>
    </row>
    <row r="9" ht="15" customHeight="1" s="23">
      <c r="A9" s="28" t="inlineStr">
        <is>
          <t>Equity — Large Cap</t>
        </is>
      </c>
      <c r="B9" s="30" t="n">
        <v>330583.06</v>
      </c>
      <c r="C9" s="30" t="n">
        <v>353533.17</v>
      </c>
      <c r="D9" s="32">
        <f>C9/C15</f>
        <v/>
      </c>
    </row>
    <row r="10" ht="15" customHeight="1" s="23">
      <c r="A10" s="28" t="inlineStr">
        <is>
          <t>Equity — Mid Cap</t>
        </is>
      </c>
      <c r="B10" s="30" t="n">
        <v>228678.54</v>
      </c>
      <c r="C10" s="30" t="n">
        <v>272163.57</v>
      </c>
      <c r="D10" s="32">
        <f>C10/C15</f>
        <v/>
      </c>
    </row>
    <row r="11" ht="15" customHeight="1" s="23">
      <c r="A11" s="28" t="inlineStr">
        <is>
          <t>Equity — Small Cap</t>
        </is>
      </c>
      <c r="B11" s="30" t="n">
        <v>84520.69</v>
      </c>
      <c r="C11" s="30" t="n">
        <v>106658.42</v>
      </c>
      <c r="D11" s="32">
        <f>C11/C15</f>
        <v/>
      </c>
    </row>
    <row r="12" ht="15" customHeight="1" s="23">
      <c r="A12" s="28" t="inlineStr">
        <is>
          <t>Equity — Thematic</t>
        </is>
      </c>
      <c r="B12" s="30" t="n">
        <v>199439.95</v>
      </c>
      <c r="C12" s="30" t="n">
        <v>231462.1</v>
      </c>
      <c r="D12" s="32">
        <f>C12/C15</f>
        <v/>
      </c>
    </row>
    <row r="13" ht="15" customHeight="1" s="23">
      <c r="A13" s="28" t="inlineStr">
        <is>
          <t>Equity — Value</t>
        </is>
      </c>
      <c r="B13" s="30" t="n">
        <v>172257</v>
      </c>
      <c r="C13" s="30" t="n">
        <v>196468.74</v>
      </c>
      <c r="D13" s="32">
        <f>C13/C15</f>
        <v/>
      </c>
    </row>
    <row r="14" ht="15" customHeight="1" s="23">
      <c r="A14" s="28" t="inlineStr">
        <is>
          <t>Hybrid — Aggressive Hybrid</t>
        </is>
      </c>
      <c r="B14" s="30" t="n">
        <v>72447.06</v>
      </c>
      <c r="C14" s="30" t="n">
        <v>93426.08</v>
      </c>
      <c r="D14" s="32">
        <f>C14/C15</f>
        <v/>
      </c>
    </row>
    <row r="15" ht="15" customHeight="1" s="23">
      <c r="A15" s="33" t="inlineStr">
        <is>
          <t>TOTAL</t>
        </is>
      </c>
      <c r="B15" s="35">
        <f>SUM(B5:B14)</f>
        <v/>
      </c>
      <c r="C15" s="35">
        <f>SUM(C5:C14)</f>
        <v/>
      </c>
      <c r="D15" s="36" t="n">
        <v>1</v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style="23" min="1" max="1"/>
    <col width="30" customWidth="1" style="23" min="2" max="2"/>
    <col width="34" customWidth="1" style="23" min="3" max="3"/>
    <col width="16" customWidth="1" style="23" min="4" max="4"/>
    <col width="18" customWidth="1" style="23" min="5" max="5"/>
    <col width="46" customWidth="1" style="23" min="6" max="6"/>
  </cols>
  <sheetData>
    <row r="1">
      <c r="A1" s="48" t="inlineStr">
        <is>
          <t>Look-Through Exposure — where your money actually is</t>
        </is>
      </c>
    </row>
    <row r="2">
      <c r="A2" s="49" t="inlineStr">
        <is>
          <t>Aggregates the same underlying bets across MFs, Indian stocks, US stocks and ETFs. Assumed USD/INR in B4 — change it and the INR figures update.</t>
        </is>
      </c>
    </row>
    <row r="4">
      <c r="A4" s="40" t="inlineStr">
        <is>
          <t>USD/INR assumption</t>
        </is>
      </c>
      <c r="B4" t="n">
        <v>88</v>
      </c>
      <c r="C4" s="42" t="inlineStr">
        <is>
          <t>← edit this</t>
        </is>
      </c>
    </row>
    <row r="6">
      <c r="A6" s="38" t="inlineStr">
        <is>
          <t>THE HEADLINE FINDING</t>
        </is>
      </c>
    </row>
    <row r="7">
      <c r="A7" s="50" t="inlineStr">
        <is>
          <t>Your largest single equity position is not an Indian stock. It is the Mirae FANG+ ETF (Rs 84,236).</t>
        </is>
      </c>
    </row>
    <row r="8">
      <c r="A8" s="50" t="inlineStr">
        <is>
          <t>But you also hold AAPL, GOOGL, META, MSFT, NVDA and AMZN directly in the US book,</t>
        </is>
      </c>
    </row>
    <row r="9">
      <c r="A9" s="50" t="inlineStr">
        <is>
          <t>plus SMH (semiconductors), ROBO (AI/robotics) and AIEQ (AI). The same ~10 US megacap tech</t>
        </is>
      </c>
    </row>
    <row r="10">
      <c r="A10" s="50" t="inlineStr">
        <is>
          <t>names reach you through at least three separate wrappers. No single line looks large.</t>
        </is>
      </c>
    </row>
    <row r="11">
      <c r="A11" s="50" t="inlineStr">
        <is>
          <t>Aggregated, it is your biggest bet by a wide margin.</t>
        </is>
      </c>
    </row>
    <row r="13">
      <c r="A13" s="51" t="inlineStr">
        <is>
          <t>Exposure bucket</t>
        </is>
      </c>
      <c r="B13" s="51" t="inlineStr">
        <is>
          <t>Vehicle</t>
        </is>
      </c>
      <c r="C13" s="51" t="inlineStr">
        <is>
          <t>Holding</t>
        </is>
      </c>
      <c r="D13" s="51" t="inlineStr">
        <is>
          <t>Value (INR)</t>
        </is>
      </c>
      <c r="E13" s="51" t="inlineStr">
        <is>
          <t>% of total portfolio</t>
        </is>
      </c>
      <c r="F13" s="51" t="inlineStr">
        <is>
          <t>Note</t>
        </is>
      </c>
    </row>
    <row r="14">
      <c r="A14" t="inlineStr">
        <is>
          <t>US megacap tech</t>
        </is>
      </c>
      <c r="B14" t="inlineStr">
        <is>
          <t>Mirae FANG+ ETF (India-listed)</t>
        </is>
      </c>
      <c r="C14" t="inlineStr">
        <is>
          <t>FANG+ basket</t>
        </is>
      </c>
      <c r="D14" s="39" t="n">
        <v>84236</v>
      </c>
      <c r="E14" s="52" t="n">
        <v>0.03239807449713927</v>
      </c>
      <c r="F14" s="53" t="inlineStr">
        <is>
          <t>Your single largest equity line</t>
        </is>
      </c>
    </row>
    <row r="15">
      <c r="A15" t="inlineStr">
        <is>
          <t>US megacap tech</t>
        </is>
      </c>
      <c r="B15" t="inlineStr">
        <is>
          <t>Direct US stocks</t>
        </is>
      </c>
      <c r="C15" t="inlineStr">
        <is>
          <t>AAPL/GOOGL/META/MSFT/NVDA/AMZN</t>
        </is>
      </c>
      <c r="D15" s="39" t="n">
        <v>154352</v>
      </c>
      <c r="E15" s="52" t="n">
        <v>0.05936538826097369</v>
      </c>
      <c r="F15" s="53" t="inlineStr">
        <is>
          <t>Same names, held again directly</t>
        </is>
      </c>
    </row>
    <row r="16">
      <c r="A16" t="inlineStr">
        <is>
          <t>US semiconductors</t>
        </is>
      </c>
      <c r="B16" t="inlineStr">
        <is>
          <t>SMH ETF</t>
        </is>
      </c>
      <c r="C16" t="inlineStr">
        <is>
          <t>Semiconductor basket</t>
        </is>
      </c>
      <c r="D16" s="39" t="n">
        <v>51216</v>
      </c>
      <c r="E16" s="52" t="n">
        <v>0.01969820750734703</v>
      </c>
      <c r="F16" s="53" t="inlineStr">
        <is>
          <t>Overlaps NVDA held directly</t>
        </is>
      </c>
    </row>
    <row r="17">
      <c r="A17" t="inlineStr">
        <is>
          <t>AI / robotics thematic</t>
        </is>
      </c>
      <c r="B17" t="inlineStr">
        <is>
          <t>ROBO + AIEQ ETFs</t>
        </is>
      </c>
      <c r="C17" t="inlineStr">
        <is>
          <t>AI &amp; robotics baskets</t>
        </is>
      </c>
      <c r="D17" s="39" t="n">
        <v>52557</v>
      </c>
      <c r="E17" s="52" t="n">
        <v>0.02021401624001364</v>
      </c>
      <c r="F17" s="53" t="inlineStr">
        <is>
          <t>Further AI-theme layering</t>
        </is>
      </c>
    </row>
    <row r="18">
      <c r="A18" s="54" t="n"/>
      <c r="B18" s="54" t="n"/>
      <c r="C18" s="55" t="inlineStr">
        <is>
          <t>TOTAL US-TECH CLUSTER</t>
        </is>
      </c>
      <c r="D18" s="56" t="n">
        <v>342361</v>
      </c>
      <c r="E18" s="57" t="n">
        <v>0.1316756865054736</v>
      </c>
      <c r="F18" s="54" t="n"/>
    </row>
    <row r="20">
      <c r="A20" s="38" t="inlineStr">
        <is>
          <t>OTHER CONCENTRATIONS</t>
        </is>
      </c>
    </row>
    <row r="21">
      <c r="A21" s="51" t="inlineStr">
        <is>
          <t>Concentration</t>
        </is>
      </c>
      <c r="B21" s="51" t="inlineStr">
        <is>
          <t>Value (INR)</t>
        </is>
      </c>
      <c r="C21" s="51" t="inlineStr">
        <is>
          <t>% of total</t>
        </is>
      </c>
      <c r="D21" s="51" t="inlineStr">
        <is>
          <t>Detail</t>
        </is>
      </c>
    </row>
    <row r="22">
      <c r="A22" t="inlineStr">
        <is>
          <t>ICICI Pru (single AMC, 4 schemes)</t>
        </is>
      </c>
      <c r="B22" s="39" t="n">
        <v>345982</v>
      </c>
      <c r="C22" s="52" t="n">
        <v>0.133068168547811</v>
      </c>
      <c r="D22" s="53" t="inlineStr">
        <is>
          <t>Largest AMC exposure across your MF book</t>
        </is>
      </c>
    </row>
    <row r="23">
      <c r="A23" t="inlineStr">
        <is>
          <t>Mid Cap + Small Cap funds</t>
        </is>
      </c>
      <c r="B23" s="39" t="n">
        <v>378822</v>
      </c>
      <c r="C23" s="52" t="n">
        <v>0.1456988864293607</v>
      </c>
      <c r="D23" s="53" t="inlineStr">
        <is>
          <t>Higher-volatility sleeve of the MF book</t>
        </is>
      </c>
    </row>
    <row r="24">
      <c r="A24" t="inlineStr">
        <is>
          <t>Thematic funds</t>
        </is>
      </c>
      <c r="B24" s="39" t="n">
        <v>231462</v>
      </c>
      <c r="C24" s="52" t="n">
        <v>0.08902273656447807</v>
      </c>
      <c r="D24" s="53" t="inlineStr">
        <is>
          <t>Dividend-yield and BHARAT 22 concentrated bets</t>
        </is>
      </c>
    </row>
    <row r="25">
      <c r="A25" t="inlineStr">
        <is>
          <t>Credit Risk debt funds</t>
        </is>
      </c>
      <c r="B25" s="39" t="n">
        <v>161183</v>
      </c>
      <c r="C25" s="52" t="n">
        <v>0.06199284283845369</v>
      </c>
      <c r="D25" s="53" t="inlineStr">
        <is>
          <t>Credit risk is not the same as low risk</t>
        </is>
      </c>
    </row>
    <row r="26">
      <c r="A26" t="inlineStr">
        <is>
          <t>PSU Bank ETF (SBI ETF PSU Bank)</t>
        </is>
      </c>
      <c r="B26" s="39" t="n">
        <v>37868</v>
      </c>
      <c r="C26" s="52" t="n">
        <v>0.01456433525301499</v>
      </c>
      <c r="D26" s="53" t="inlineStr">
        <is>
          <t>Single-sector equity bet</t>
        </is>
      </c>
    </row>
    <row r="28">
      <c r="A28" s="42" t="inlineStr">
        <is>
          <t>NOTE: Mutual fund look-through is at category level only. Actual stock-level overlap between your 23 funds</t>
        </is>
      </c>
    </row>
    <row r="29">
      <c r="A29" s="42" t="inlineStr">
        <is>
          <t>(e.g. how many hold HDFC Bank or Reliance) needs each scheme's monthly portfolio disclosure. Worth doing once.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style="23" min="1" max="1"/>
    <col width="10" customWidth="1" style="23" min="2" max="2"/>
    <col width="38" customWidth="1" style="23" min="3" max="3"/>
    <col width="16" customWidth="1" style="23" min="4" max="4"/>
    <col width="15" customWidth="1" style="23" min="5" max="5"/>
    <col width="62" customWidth="1" style="23" min="6" max="6"/>
    <col width="20" customWidth="1" style="23" min="7" max="7"/>
  </cols>
  <sheetData>
    <row r="1">
      <c r="A1" s="48" t="inlineStr">
        <is>
          <t>Action Calendar — dated items that need a decision</t>
        </is>
      </c>
    </row>
    <row r="2">
      <c r="A2" s="49" t="inlineStr">
        <is>
          <t>Anything with a deadline. Items needing your input are marked. Not advice — just the clock.</t>
        </is>
      </c>
    </row>
    <row r="4">
      <c r="A4" s="51" t="inlineStr">
        <is>
          <t>Date</t>
        </is>
      </c>
      <c r="B4" s="51" t="inlineStr">
        <is>
          <t>Days out</t>
        </is>
      </c>
      <c r="C4" s="51" t="inlineStr">
        <is>
          <t>Item</t>
        </is>
      </c>
      <c r="D4" s="51" t="inlineStr">
        <is>
          <t>Type</t>
        </is>
      </c>
      <c r="E4" s="51" t="inlineStr">
        <is>
          <t>Amount (INR)</t>
        </is>
      </c>
      <c r="F4" s="51" t="inlineStr">
        <is>
          <t>What it means</t>
        </is>
      </c>
      <c r="G4" s="51" t="inlineStr">
        <is>
          <t>Status</t>
        </is>
      </c>
    </row>
    <row r="5" ht="42" customHeight="1" s="23">
      <c r="A5" t="inlineStr">
        <is>
          <t>18-Aug-2026</t>
        </is>
      </c>
      <c r="B5" t="n">
        <v>17</v>
      </c>
      <c r="C5" s="58" t="inlineStr">
        <is>
          <t>Indel Aug'26 bond matures</t>
        </is>
      </c>
      <c r="D5" t="inlineStr">
        <is>
          <t>Redeployment</t>
        </is>
      </c>
      <c r="E5" s="39" t="n">
        <v>190000</v>
      </c>
      <c r="F5" s="59" t="inlineStr">
        <is>
          <t>Rs 1.9L returns to cash. LTCG at 12.5% on Rs 1,126.89 gain (379 days held). Decide where it goes before it sits idle.</t>
        </is>
      </c>
      <c r="G5" s="60" t="inlineStr">
        <is>
          <t>DECISION NEEDED</t>
        </is>
      </c>
    </row>
    <row r="6" ht="42" customHeight="1" s="23">
      <c r="A6" t="inlineStr">
        <is>
          <t>05-Aug-2026</t>
        </is>
      </c>
      <c r="B6" t="n">
        <v>4</v>
      </c>
      <c r="C6" s="58" t="inlineStr">
        <is>
          <t>RBI MPC rate decision</t>
        </is>
      </c>
      <c r="D6" t="inlineStr">
        <is>
          <t>Macro event</t>
        </is>
      </c>
      <c r="E6" t="inlineStr">
        <is>
          <t>—</t>
        </is>
      </c>
      <c r="F6" s="59" t="inlineStr">
        <is>
          <t>Meeting runs 3-5 Aug. Affects your debt funds (Low Duration, Dynamic Bond, Credit Risk) and bank holdings (Axis, IndusInd, PSU Bank ETF).</t>
        </is>
      </c>
      <c r="G6" s="61" t="inlineStr">
        <is>
          <t>WATCH</t>
        </is>
      </c>
    </row>
    <row r="7" ht="42" customHeight="1" s="23">
      <c r="A7" t="inlineStr">
        <is>
          <t>31-Aug-2026</t>
        </is>
      </c>
      <c r="B7" t="n">
        <v>30</v>
      </c>
      <c r="C7" s="58" t="inlineStr">
        <is>
          <t>ITR filing deadline (ITR-3 / ITR-4, non-audit)</t>
        </is>
      </c>
      <c r="D7" t="inlineStr">
        <is>
          <t>Compliance</t>
        </is>
      </c>
      <c r="E7" t="inlineStr">
        <is>
          <t>—</t>
        </is>
      </c>
      <c r="F7" s="59" t="inlineStr">
        <is>
          <t>Realised P&amp;L FY25-26: Rs 6,244.66 gains, Rs 828.07 charges. Bond LTCG also reportable.</t>
        </is>
      </c>
      <c r="G7" s="60" t="inlineStr">
        <is>
          <t>ACTION</t>
        </is>
      </c>
    </row>
    <row r="8" ht="42" customHeight="1" s="23">
      <c r="A8" t="inlineStr">
        <is>
          <t>TBD</t>
        </is>
      </c>
      <c r="B8" t="inlineStr">
        <is>
          <t>—</t>
        </is>
      </c>
      <c r="C8" s="58" t="inlineStr">
        <is>
          <t>ELSS lock-in unlock dates</t>
        </is>
      </c>
      <c r="D8" t="inlineStr">
        <is>
          <t>Liquidity</t>
        </is>
      </c>
      <c r="E8" s="39" t="n">
        <v>197366</v>
      </c>
      <c r="F8" s="59" t="inlineStr">
        <is>
          <t>You hold 4 ELSS funds (Quant, PPFAS, Bandhan, Kotak). Each unit has its own 3-yr lock-in. Purchase dates not in the sheet — add them to compute unlock dates.</t>
        </is>
      </c>
      <c r="G8" s="61" t="inlineStr">
        <is>
          <t>NEEDS INPUT</t>
        </is>
      </c>
    </row>
    <row r="9" ht="42" customHeight="1" s="23">
      <c r="A9" t="inlineStr">
        <is>
          <t>Quarterly</t>
        </is>
      </c>
      <c r="B9" t="inlineStr">
        <is>
          <t>—</t>
        </is>
      </c>
      <c r="C9" s="58" t="inlineStr">
        <is>
          <t>Results season for held stocks</t>
        </is>
      </c>
      <c r="D9" t="inlineStr">
        <is>
          <t>Corporate</t>
        </is>
      </c>
      <c r="E9" s="39" t="n">
        <v>282802</v>
      </c>
      <c r="F9" s="59" t="inlineStr">
        <is>
          <t>18 Indian stock holdings. Earnings dates drive most single-stock moves. Digest will flag these.</t>
        </is>
      </c>
      <c r="G9" s="62" t="inlineStr">
        <is>
          <t>AUTO-TRACKED</t>
        </is>
      </c>
    </row>
    <row r="10" ht="42" customHeight="1" s="23">
      <c r="A10" t="inlineStr">
        <is>
          <t>Ongoing</t>
        </is>
      </c>
      <c r="B10" t="inlineStr">
        <is>
          <t>—</t>
        </is>
      </c>
      <c r="C10" s="58" t="inlineStr">
        <is>
          <t>Tata Motors demerger tracking</t>
        </is>
      </c>
      <c r="D10" t="inlineStr">
        <is>
          <t>Corporate</t>
        </is>
      </c>
      <c r="E10" s="39" t="n">
        <v>17899</v>
      </c>
      <c r="F10" s="59" t="inlineStr">
        <is>
          <t>You hold both TAMO (+73.5%) and Tata Motors PV (-35.5%). Net position roughly flat. Worth tracking as one holding, not two.</t>
        </is>
      </c>
      <c r="G10" s="62" t="inlineStr">
        <is>
          <t>MONITOR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style="23" min="1" max="1"/>
    <col width="12" customWidth="1" style="23" min="2" max="2"/>
    <col width="12" customWidth="1" style="23" min="3" max="3"/>
    <col width="12" customWidth="1" style="23" min="4" max="4"/>
    <col width="13" customWidth="1" style="23" min="5" max="5"/>
    <col width="13" customWidth="1" style="23" min="6" max="6"/>
    <col width="13" customWidth="1" style="23" min="7" max="7"/>
    <col width="16" customWidth="1" style="23" min="8" max="8"/>
  </cols>
  <sheetData>
    <row r="1">
      <c r="A1" s="48" t="inlineStr">
        <is>
          <t>Laggards &amp; Review — the data, not a recommendation</t>
        </is>
      </c>
    </row>
    <row r="2">
      <c r="A2" s="49" t="inlineStr">
        <is>
          <t>Sorted by XIRR / P&amp;L. This flags what is underperforming so you can decide whether to review it. No buy/sell guidance — that is for you and a SEBI-registered advisor.</t>
        </is>
      </c>
    </row>
    <row r="4">
      <c r="A4" s="38" t="inlineStr">
        <is>
          <t>MUTUAL FUNDS — weakest XIRR</t>
        </is>
      </c>
    </row>
    <row r="5">
      <c r="A5" s="51" t="inlineStr">
        <is>
          <t>Scheme</t>
        </is>
      </c>
      <c r="B5" s="51" t="inlineStr">
        <is>
          <t>AMC</t>
        </is>
      </c>
      <c r="C5" s="51" t="inlineStr">
        <is>
          <t>Sub-category</t>
        </is>
      </c>
      <c r="D5" s="51" t="inlineStr">
        <is>
          <t>Invested</t>
        </is>
      </c>
      <c r="E5" s="51" t="inlineStr">
        <is>
          <t>Current</t>
        </is>
      </c>
      <c r="F5" s="51" t="inlineStr">
        <is>
          <t>XIRR</t>
        </is>
      </c>
      <c r="G5" s="51" t="inlineStr">
        <is>
          <t>Returns %</t>
        </is>
      </c>
      <c r="H5" s="51" t="inlineStr">
        <is>
          <t>Flag</t>
        </is>
      </c>
    </row>
    <row r="6">
      <c r="A6" t="inlineStr">
        <is>
          <t>Quant Mid Cap Fund Direct Growth</t>
        </is>
      </c>
      <c r="B6" t="inlineStr">
        <is>
          <t>Quant</t>
        </is>
      </c>
      <c r="C6" t="inlineStr">
        <is>
          <t>Mid Cap</t>
        </is>
      </c>
      <c r="D6" s="39" t="n">
        <v>9999.51</v>
      </c>
      <c r="E6" s="39" t="n">
        <v>9333.99</v>
      </c>
      <c r="F6" s="63" t="n">
        <v>-0.0324</v>
      </c>
      <c r="G6" s="52" t="n">
        <v>0</v>
      </c>
      <c r="H6" s="60" t="inlineStr">
        <is>
          <t>NEGATIVE</t>
        </is>
      </c>
    </row>
    <row r="7">
      <c r="A7" t="inlineStr">
        <is>
          <t>Scheme Name</t>
        </is>
      </c>
      <c r="B7" t="inlineStr">
        <is>
          <t>AMC</t>
        </is>
      </c>
      <c r="C7" t="inlineStr">
        <is>
          <t>Sub-category</t>
        </is>
      </c>
      <c r="D7" s="39" t="n">
        <v>0</v>
      </c>
      <c r="E7" s="39" t="n">
        <v>0</v>
      </c>
      <c r="F7" s="63" t="n">
        <v>0</v>
      </c>
      <c r="G7" s="52" t="n">
        <v>0</v>
      </c>
      <c r="H7" s="60" t="inlineStr">
        <is>
          <t>NEAR-ZERO</t>
        </is>
      </c>
    </row>
    <row r="8">
      <c r="A8" t="inlineStr">
        <is>
          <t>Motilal Oswal Midcap Fund Growth</t>
        </is>
      </c>
      <c r="B8" t="inlineStr">
        <is>
          <t>Motilal Oswal</t>
        </is>
      </c>
      <c r="C8" t="inlineStr">
        <is>
          <t>Mid Cap</t>
        </is>
      </c>
      <c r="D8" s="39" t="n">
        <v>87735.61</v>
      </c>
      <c r="E8" s="39" t="n">
        <v>87903.92999999999</v>
      </c>
      <c r="F8" s="63" t="n">
        <v>0.0019</v>
      </c>
      <c r="G8" s="52" t="n">
        <v>0</v>
      </c>
      <c r="H8" s="60" t="inlineStr">
        <is>
          <t>NEAR-ZERO</t>
        </is>
      </c>
    </row>
    <row r="9">
      <c r="A9" t="inlineStr">
        <is>
          <t>ICICI Pru Large Cap Fund Growth</t>
        </is>
      </c>
      <c r="B9" t="inlineStr">
        <is>
          <t>ICICI Pru</t>
        </is>
      </c>
      <c r="C9" t="inlineStr">
        <is>
          <t>Large Cap</t>
        </is>
      </c>
      <c r="D9" s="39" t="n">
        <v>116993.75</v>
      </c>
      <c r="E9" s="39" t="n">
        <v>118256.23</v>
      </c>
      <c r="F9" s="63" t="n">
        <v>0.0104</v>
      </c>
      <c r="G9" s="52" t="n">
        <v>0</v>
      </c>
      <c r="H9" s="60" t="inlineStr">
        <is>
          <t>NEAR-ZERO</t>
        </is>
      </c>
    </row>
    <row r="10">
      <c r="A10" t="inlineStr">
        <is>
          <t>ICICI Pru BHARAT 22 FOF Direct Growth</t>
        </is>
      </c>
      <c r="B10" t="inlineStr">
        <is>
          <t>ICICI Pru</t>
        </is>
      </c>
      <c r="C10" t="inlineStr">
        <is>
          <t>Thematic</t>
        </is>
      </c>
      <c r="D10" s="39" t="n">
        <v>9999.5</v>
      </c>
      <c r="E10" s="39" t="n">
        <v>10378.5</v>
      </c>
      <c r="F10" s="63" t="n">
        <v>0.018</v>
      </c>
      <c r="G10" s="52" t="n">
        <v>0</v>
      </c>
      <c r="H10" s="60" t="inlineStr">
        <is>
          <t>NEAR-ZERO</t>
        </is>
      </c>
    </row>
    <row r="11">
      <c r="A11" t="inlineStr">
        <is>
          <t>HDFC Dividend Yield Fund Growth</t>
        </is>
      </c>
      <c r="B11" t="inlineStr">
        <is>
          <t>HDFC</t>
        </is>
      </c>
      <c r="C11" t="inlineStr">
        <is>
          <t>Thematic</t>
        </is>
      </c>
      <c r="D11" s="39" t="n">
        <v>116994.06</v>
      </c>
      <c r="E11" s="39" t="n">
        <v>119210.85</v>
      </c>
      <c r="F11" s="63" t="n">
        <v>0.0183</v>
      </c>
      <c r="G11" s="52" t="n">
        <v>0</v>
      </c>
      <c r="H11" s="60" t="inlineStr">
        <is>
          <t>NEAR-ZERO</t>
        </is>
      </c>
    </row>
    <row r="12">
      <c r="A12" t="inlineStr">
        <is>
          <t>Mirae Asset Large Cap Fund Growth</t>
        </is>
      </c>
      <c r="B12" t="inlineStr">
        <is>
          <t>Mirae Asset</t>
        </is>
      </c>
      <c r="C12" t="inlineStr">
        <is>
          <t>Large Cap</t>
        </is>
      </c>
      <c r="D12" s="39" t="n">
        <v>116994.15</v>
      </c>
      <c r="E12" s="39" t="n">
        <v>119802.72</v>
      </c>
      <c r="F12" s="63" t="n">
        <v>0.0231</v>
      </c>
      <c r="G12" s="52" t="n">
        <v>0</v>
      </c>
      <c r="H12" s="61" t="inlineStr">
        <is>
          <t>BELOW BOOK AVG</t>
        </is>
      </c>
    </row>
    <row r="13">
      <c r="A13" t="inlineStr">
        <is>
          <t>PGIM India Dynamic Bond Fund Direct Growth</t>
        </is>
      </c>
      <c r="B13" t="inlineStr">
        <is>
          <t>PGIM India</t>
        </is>
      </c>
      <c r="C13" t="inlineStr">
        <is>
          <t>Dynamic Bond</t>
        </is>
      </c>
      <c r="D13" s="39" t="n">
        <v>76495.95</v>
      </c>
      <c r="E13" s="39" t="n">
        <v>80518.50999999999</v>
      </c>
      <c r="F13" s="63" t="n">
        <v>0.0435</v>
      </c>
      <c r="G13" s="52" t="n">
        <v>0</v>
      </c>
      <c r="H13" s="61" t="inlineStr">
        <is>
          <t>BELOW BOOK AVG</t>
        </is>
      </c>
    </row>
    <row r="14">
      <c r="A14" t="inlineStr">
        <is>
          <t>Kotak Contra Fund Growth</t>
        </is>
      </c>
      <c r="B14" t="inlineStr">
        <is>
          <t>Kotak</t>
        </is>
      </c>
      <c r="C14" t="inlineStr">
        <is>
          <t>Value</t>
        </is>
      </c>
      <c r="D14" s="39" t="n">
        <v>87735.64999999999</v>
      </c>
      <c r="E14" s="39" t="n">
        <v>92175.89999999999</v>
      </c>
      <c r="F14" s="63" t="n">
        <v>0.0486</v>
      </c>
      <c r="G14" s="52" t="n">
        <v>0</v>
      </c>
      <c r="H14" s="61" t="inlineStr">
        <is>
          <t>BELOW BOOK AVG</t>
        </is>
      </c>
    </row>
    <row r="16">
      <c r="A16" s="64" t="inlineStr">
        <is>
          <t>Combined value in sub-6% XIRR schemes: Rs 637,581  (36.5% of MF book)</t>
        </is>
      </c>
    </row>
    <row r="17">
      <c r="A17" s="49" t="inlineStr">
        <is>
          <t>Reference: overall MF book XIRR is 9.64%.</t>
        </is>
      </c>
    </row>
    <row r="19">
      <c r="A19" s="38" t="inlineStr">
        <is>
          <t>INDIAN STOCKS — largest losses</t>
        </is>
      </c>
    </row>
    <row r="20">
      <c r="A20" s="51" t="inlineStr">
        <is>
          <t>Stock</t>
        </is>
      </c>
      <c r="B20" s="51" t="inlineStr">
        <is>
          <t>Qty</t>
        </is>
      </c>
      <c r="C20" s="51" t="inlineStr">
        <is>
          <t>Avg buy</t>
        </is>
      </c>
      <c r="D20" s="51" t="inlineStr">
        <is>
          <t>CMP</t>
        </is>
      </c>
      <c r="E20" s="51" t="inlineStr">
        <is>
          <t>Invested</t>
        </is>
      </c>
      <c r="F20" s="51" t="inlineStr">
        <is>
          <t>Current</t>
        </is>
      </c>
      <c r="G20" s="51" t="inlineStr">
        <is>
          <t>P&amp;L</t>
        </is>
      </c>
      <c r="H20" s="51" t="inlineStr">
        <is>
          <t>P&amp;L %</t>
        </is>
      </c>
    </row>
    <row r="23">
      <c r="A23" s="38" t="inlineStr">
        <is>
          <t>DATA QUALITY ISSUES FOUND</t>
        </is>
      </c>
    </row>
    <row r="24" ht="30" customHeight="1" s="23">
      <c r="A24" s="65" t="inlineStr">
        <is>
          <t>• Indel Money NCD appears in BOTH "Indian Stocks" (Rs 1,901.86) and "Bonds" (Rs 1,90,000). The stocks sheet prices it at Rs 100.1/unit; the bonds sheet implies ~Rs 9,898/unit. One is wrong — likely a per-100-face-value vs per-unit mismatch. Risk of double-counting.</t>
        </is>
      </c>
    </row>
    <row r="25" ht="30" customHeight="1" s="23">
      <c r="A25" s="65" t="inlineStr">
        <is>
          <t>• Dashboard TOTAL (Rs 22,18,723) EXCLUDES the US portfolio entirely. MF + Indian stocks + bonds sums to exactly that figure. True total is ~Rs 26L including US holdings.</t>
        </is>
      </c>
    </row>
    <row r="26" ht="30" customHeight="1" s="23">
      <c r="A26" s="65" t="inlineStr">
        <is>
          <t>• Dashboard dated 21 July 2026 — prices are stale. Refresh before making any decision off it.</t>
        </is>
      </c>
    </row>
    <row r="27" ht="30" customHeight="1" s="23">
      <c r="A27" s="65" t="inlineStr">
        <is>
          <t>• US portfolio has no invested-cost column, only avg price x qty. Makes true P&amp;L hard to verify independently.</t>
        </is>
      </c>
    </row>
    <row r="28" ht="30" customHeight="1" s="23">
      <c r="A28" s="65" t="inlineStr">
        <is>
          <t>• ELSS purchase dates missing — cannot compute lock-in unlock dates without them.</t>
        </is>
      </c>
    </row>
  </sheetData>
  <mergeCells count="5">
    <mergeCell ref="A26:H26"/>
    <mergeCell ref="A25:H25"/>
    <mergeCell ref="A24:H24"/>
    <mergeCell ref="A28:H28"/>
    <mergeCell ref="A27:H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style="23" min="1" max="1"/>
    <col width="16" customWidth="1" style="23" min="2" max="2"/>
    <col width="16" customWidth="1" style="23" min="3" max="3"/>
    <col width="14" customWidth="1" style="23" min="4" max="4"/>
    <col width="28" customWidth="1" style="23" min="5" max="5"/>
    <col width="14" customWidth="1" style="23" min="6" max="6"/>
    <col width="16" customWidth="1" style="23" min="7" max="7"/>
    <col width="46" customWidth="1" style="23" min="8" max="8"/>
  </cols>
  <sheetData>
    <row r="1">
      <c r="A1" s="48" t="inlineStr">
        <is>
          <t>Watchlist &amp; News Map — what the daily digest tracks</t>
        </is>
      </c>
    </row>
    <row r="2">
      <c r="A2" s="49" t="inlineStr">
        <is>
          <t>Every holding mapped to its ticker and sector so the digest can pull news, results and market commentary automatically. Tier 1 = never miss.</t>
        </is>
      </c>
    </row>
    <row r="4">
      <c r="A4" s="51" t="inlineStr">
        <is>
          <t>Holding</t>
        </is>
      </c>
      <c r="B4" s="51" t="inlineStr">
        <is>
          <t>Type</t>
        </is>
      </c>
      <c r="C4" s="51" t="inlineStr">
        <is>
          <t>Ticker / Symbol</t>
        </is>
      </c>
      <c r="D4" s="51" t="inlineStr">
        <is>
          <t>Exchange</t>
        </is>
      </c>
      <c r="E4" s="51" t="inlineStr">
        <is>
          <t>Sector / Theme</t>
        </is>
      </c>
      <c r="F4" s="51" t="inlineStr">
        <is>
          <t>Value (INR)</t>
        </is>
      </c>
      <c r="G4" s="51" t="inlineStr">
        <is>
          <t>Tier</t>
        </is>
      </c>
      <c r="H4" s="51" t="inlineStr">
        <is>
          <t>Track for</t>
        </is>
      </c>
    </row>
    <row r="5">
      <c r="A5" t="inlineStr">
        <is>
          <t>Mirae Asset FANG+ ETF</t>
        </is>
      </c>
      <c r="B5" t="inlineStr">
        <is>
          <t>Indian Stock/ETF</t>
        </is>
      </c>
      <c r="C5" t="inlineStr">
        <is>
          <t>MAFANG</t>
        </is>
      </c>
      <c r="D5" t="inlineStr">
        <is>
          <t>NSE</t>
        </is>
      </c>
      <c r="E5" t="inlineStr">
        <is>
          <t>US Megacap Tech</t>
        </is>
      </c>
      <c r="F5" s="39" t="n">
        <v>84236.08</v>
      </c>
      <c r="G5" s="61" t="inlineStr">
        <is>
          <t>1 — never miss</t>
        </is>
      </c>
      <c r="H5" t="inlineStr">
        <is>
          <t>Results, price moves &gt;5%, analyst actions, sector news</t>
        </is>
      </c>
    </row>
    <row r="6">
      <c r="A6" t="inlineStr">
        <is>
          <t>SBI ETF PSU Bank</t>
        </is>
      </c>
      <c r="B6" t="inlineStr">
        <is>
          <t>Indian Stock/ETF</t>
        </is>
      </c>
      <c r="C6" t="inlineStr">
        <is>
          <t>PSUBNKBEES</t>
        </is>
      </c>
      <c r="D6" t="inlineStr">
        <is>
          <t>NSE</t>
        </is>
      </c>
      <c r="E6" t="inlineStr">
        <is>
          <t>PSU Banking</t>
        </is>
      </c>
      <c r="F6" s="39" t="n">
        <v>37867.76</v>
      </c>
      <c r="G6" s="61" t="inlineStr">
        <is>
          <t>1 — never miss</t>
        </is>
      </c>
      <c r="H6" t="inlineStr">
        <is>
          <t>Results, price moves &gt;5%, analyst actions, sector news</t>
        </is>
      </c>
    </row>
    <row r="7">
      <c r="A7" t="inlineStr">
        <is>
          <t>Adani Ports &amp; SEZ</t>
        </is>
      </c>
      <c r="B7" t="inlineStr">
        <is>
          <t>Indian Stock/ETF</t>
        </is>
      </c>
      <c r="C7" t="inlineStr">
        <is>
          <t>ADANIPORTS</t>
        </is>
      </c>
      <c r="D7" t="inlineStr">
        <is>
          <t>NSE</t>
        </is>
      </c>
      <c r="E7" t="inlineStr">
        <is>
          <t>Ports / Infra</t>
        </is>
      </c>
      <c r="F7" s="39" t="n">
        <v>18440</v>
      </c>
      <c r="G7" s="61" t="inlineStr">
        <is>
          <t>1 — never miss</t>
        </is>
      </c>
      <c r="H7" t="inlineStr">
        <is>
          <t>Results, price moves &gt;5%, analyst actions, sector news</t>
        </is>
      </c>
    </row>
    <row r="8">
      <c r="A8" t="inlineStr">
        <is>
          <t>Hindustan Unilever</t>
        </is>
      </c>
      <c r="B8" t="inlineStr">
        <is>
          <t>Indian Stock/ETF</t>
        </is>
      </c>
      <c r="C8" t="inlineStr">
        <is>
          <t>HINDUNILVR</t>
        </is>
      </c>
      <c r="D8" t="inlineStr">
        <is>
          <t>NSE</t>
        </is>
      </c>
      <c r="E8" t="inlineStr">
        <is>
          <t>FMCG</t>
        </is>
      </c>
      <c r="F8" s="39" t="n">
        <v>17117.6</v>
      </c>
      <c r="G8" s="61" t="inlineStr">
        <is>
          <t>1 — never miss</t>
        </is>
      </c>
      <c r="H8" t="inlineStr">
        <is>
          <t>Results, price moves &gt;5%, analyst actions, sector news</t>
        </is>
      </c>
    </row>
    <row r="9">
      <c r="A9" t="inlineStr">
        <is>
          <t>Axis Bank</t>
        </is>
      </c>
      <c r="B9" t="inlineStr">
        <is>
          <t>Indian Stock/ETF</t>
        </is>
      </c>
      <c r="C9" t="inlineStr">
        <is>
          <t>AXISBANK</t>
        </is>
      </c>
      <c r="D9" t="inlineStr">
        <is>
          <t>NSE</t>
        </is>
      </c>
      <c r="E9" t="inlineStr">
        <is>
          <t>Banking</t>
        </is>
      </c>
      <c r="F9" s="39" t="n">
        <v>16328</v>
      </c>
      <c r="G9" s="61" t="inlineStr">
        <is>
          <t>1 — never miss</t>
        </is>
      </c>
      <c r="H9" t="inlineStr">
        <is>
          <t>Results, price moves &gt;5%, analyst actions, sector news</t>
        </is>
      </c>
    </row>
    <row r="10">
      <c r="A10" t="inlineStr">
        <is>
          <t>Welspun Living</t>
        </is>
      </c>
      <c r="B10" t="inlineStr">
        <is>
          <t>Indian Stock/ETF</t>
        </is>
      </c>
      <c r="C10" t="inlineStr">
        <is>
          <t>WELSPUNLIV</t>
        </is>
      </c>
      <c r="D10" t="inlineStr">
        <is>
          <t>NSE</t>
        </is>
      </c>
      <c r="E10" t="inlineStr">
        <is>
          <t>Textiles</t>
        </is>
      </c>
      <c r="F10" s="39" t="n">
        <v>15684.48</v>
      </c>
      <c r="G10" s="61" t="inlineStr">
        <is>
          <t>1 — never miss</t>
        </is>
      </c>
      <c r="H10" t="inlineStr">
        <is>
          <t>Results, price moves &gt;5%, analyst actions, sector news</t>
        </is>
      </c>
    </row>
    <row r="11">
      <c r="A11" t="inlineStr">
        <is>
          <t>Affle (India)</t>
        </is>
      </c>
      <c r="B11" t="inlineStr">
        <is>
          <t>Indian Stock/ETF</t>
        </is>
      </c>
      <c r="C11" t="inlineStr">
        <is>
          <t>AFFLE</t>
        </is>
      </c>
      <c r="D11" t="inlineStr">
        <is>
          <t>NSE</t>
        </is>
      </c>
      <c r="E11" t="inlineStr">
        <is>
          <t>AdTech</t>
        </is>
      </c>
      <c r="F11" s="39" t="n">
        <v>13664.7</v>
      </c>
      <c r="G11" s="66" t="inlineStr">
        <is>
          <t>2 — standard</t>
        </is>
      </c>
      <c r="H11" t="inlineStr">
        <is>
          <t>Results, price moves &gt;5%, analyst actions, sector news</t>
        </is>
      </c>
    </row>
    <row r="12">
      <c r="A12" t="inlineStr">
        <is>
          <t>NTPC Green Energy</t>
        </is>
      </c>
      <c r="B12" t="inlineStr">
        <is>
          <t>Indian Stock/ETF</t>
        </is>
      </c>
      <c r="C12" t="inlineStr">
        <is>
          <t>NTPCGREEN</t>
        </is>
      </c>
      <c r="D12" t="inlineStr">
        <is>
          <t>NSE</t>
        </is>
      </c>
      <c r="E12" t="inlineStr">
        <is>
          <t>Renewables</t>
        </is>
      </c>
      <c r="F12" s="39" t="n">
        <v>12693.24</v>
      </c>
      <c r="G12" s="66" t="inlineStr">
        <is>
          <t>2 — standard</t>
        </is>
      </c>
      <c r="H12" t="inlineStr">
        <is>
          <t>Results, price moves &gt;5%, analyst actions, sector news</t>
        </is>
      </c>
    </row>
    <row r="13">
      <c r="A13" t="inlineStr">
        <is>
          <t>InterGlobe Aviation (IndiGo)</t>
        </is>
      </c>
      <c r="B13" t="inlineStr">
        <is>
          <t>Indian Stock/ETF</t>
        </is>
      </c>
      <c r="C13" t="inlineStr">
        <is>
          <t>INDIGO</t>
        </is>
      </c>
      <c r="D13" t="inlineStr">
        <is>
          <t>NSE</t>
        </is>
      </c>
      <c r="E13" t="inlineStr">
        <is>
          <t>Aviation</t>
        </is>
      </c>
      <c r="F13" s="39" t="n">
        <v>10458</v>
      </c>
      <c r="G13" s="66" t="inlineStr">
        <is>
          <t>2 — standard</t>
        </is>
      </c>
      <c r="H13" t="inlineStr">
        <is>
          <t>Results, price moves &gt;5%, analyst actions, sector news</t>
        </is>
      </c>
    </row>
    <row r="14">
      <c r="A14" t="inlineStr">
        <is>
          <t>Tata Motors</t>
        </is>
      </c>
      <c r="B14" t="inlineStr">
        <is>
          <t>Indian Stock/ETF</t>
        </is>
      </c>
      <c r="C14" t="inlineStr">
        <is>
          <t>TATAMOTORS</t>
        </is>
      </c>
      <c r="D14" t="inlineStr">
        <is>
          <t>NSE</t>
        </is>
      </c>
      <c r="E14" t="inlineStr">
        <is>
          <t>Auto</t>
        </is>
      </c>
      <c r="F14" s="39" t="n">
        <v>9824.4</v>
      </c>
      <c r="G14" s="66" t="inlineStr">
        <is>
          <t>2 — standard</t>
        </is>
      </c>
      <c r="H14" t="inlineStr">
        <is>
          <t>Results, price moves &gt;5%, analyst actions, sector news</t>
        </is>
      </c>
    </row>
    <row r="15">
      <c r="A15" t="inlineStr">
        <is>
          <t>IndusInd Bank</t>
        </is>
      </c>
      <c r="B15" t="inlineStr">
        <is>
          <t>Indian Stock/ETF</t>
        </is>
      </c>
      <c r="C15" t="inlineStr">
        <is>
          <t>INDUSINDBK</t>
        </is>
      </c>
      <c r="D15" t="inlineStr">
        <is>
          <t>NSE</t>
        </is>
      </c>
      <c r="E15" t="inlineStr">
        <is>
          <t>Banking</t>
        </is>
      </c>
      <c r="F15" s="39" t="n">
        <v>9295.65</v>
      </c>
      <c r="G15" s="66" t="inlineStr">
        <is>
          <t>2 — standard</t>
        </is>
      </c>
      <c r="H15" t="inlineStr">
        <is>
          <t>Results, price moves &gt;5%, analyst actions, sector news</t>
        </is>
      </c>
    </row>
    <row r="16">
      <c r="A16" t="inlineStr">
        <is>
          <t>Tata Motors Pass Veh (demerged)</t>
        </is>
      </c>
      <c r="B16" t="inlineStr">
        <is>
          <t>Indian Stock/ETF</t>
        </is>
      </c>
      <c r="C16" t="inlineStr">
        <is>
          <t>TMPV</t>
        </is>
      </c>
      <c r="D16" t="inlineStr">
        <is>
          <t>NSE</t>
        </is>
      </c>
      <c r="E16" t="inlineStr">
        <is>
          <t>Auto</t>
        </is>
      </c>
      <c r="F16" s="39" t="n">
        <v>8074.8</v>
      </c>
      <c r="G16" s="66" t="inlineStr">
        <is>
          <t>2 — standard</t>
        </is>
      </c>
      <c r="H16" t="inlineStr">
        <is>
          <t>Results, price moves &gt;5%, analyst actions, sector news</t>
        </is>
      </c>
    </row>
    <row r="17">
      <c r="A17" t="inlineStr">
        <is>
          <t>ITC</t>
        </is>
      </c>
      <c r="B17" t="inlineStr">
        <is>
          <t>Indian Stock/ETF</t>
        </is>
      </c>
      <c r="C17" t="inlineStr">
        <is>
          <t>ITC</t>
        </is>
      </c>
      <c r="D17" t="inlineStr">
        <is>
          <t>NSE</t>
        </is>
      </c>
      <c r="E17" t="inlineStr">
        <is>
          <t>FMCG / Diversified</t>
        </is>
      </c>
      <c r="F17" s="39" t="n">
        <v>7067.5</v>
      </c>
      <c r="G17" s="66" t="inlineStr">
        <is>
          <t>2 — standard</t>
        </is>
      </c>
      <c r="H17" t="inlineStr">
        <is>
          <t>Results, price moves &gt;5%, analyst actions, sector news</t>
        </is>
      </c>
    </row>
    <row r="18">
      <c r="A18" t="inlineStr">
        <is>
          <t>Godrej Properties</t>
        </is>
      </c>
      <c r="B18" t="inlineStr">
        <is>
          <t>Indian Stock/ETF</t>
        </is>
      </c>
      <c r="C18" t="inlineStr">
        <is>
          <t>GODREJPROP</t>
        </is>
      </c>
      <c r="D18" t="inlineStr">
        <is>
          <t>NSE</t>
        </is>
      </c>
      <c r="E18" t="inlineStr">
        <is>
          <t>Real Estate</t>
        </is>
      </c>
      <c r="F18" s="39" t="n">
        <v>6356.1</v>
      </c>
      <c r="G18" s="66" t="inlineStr">
        <is>
          <t>2 — standard</t>
        </is>
      </c>
      <c r="H18" t="inlineStr">
        <is>
          <t>Results, price moves &gt;5%, analyst actions, sector news</t>
        </is>
      </c>
    </row>
    <row r="19">
      <c r="A19" t="inlineStr">
        <is>
          <t>GE Shipping</t>
        </is>
      </c>
      <c r="B19" t="inlineStr">
        <is>
          <t>Indian Stock/ETF</t>
        </is>
      </c>
      <c r="C19" t="inlineStr">
        <is>
          <t>GESHIP</t>
        </is>
      </c>
      <c r="D19" t="inlineStr">
        <is>
          <t>NSE</t>
        </is>
      </c>
      <c r="E19" t="inlineStr">
        <is>
          <t>Shipping</t>
        </is>
      </c>
      <c r="F19" s="39" t="n">
        <v>5548.4</v>
      </c>
      <c r="G19" s="66" t="inlineStr">
        <is>
          <t>3 — light</t>
        </is>
      </c>
      <c r="H19" t="inlineStr">
        <is>
          <t>Results, price moves &gt;5%, analyst actions, sector news</t>
        </is>
      </c>
    </row>
    <row r="20">
      <c r="A20" t="inlineStr">
        <is>
          <t>Titagarh Rail Systems</t>
        </is>
      </c>
      <c r="B20" t="inlineStr">
        <is>
          <t>Indian Stock/ETF</t>
        </is>
      </c>
      <c r="C20" t="inlineStr">
        <is>
          <t>TITAGARH</t>
        </is>
      </c>
      <c r="D20" t="inlineStr">
        <is>
          <t>NSE</t>
        </is>
      </c>
      <c r="E20" t="inlineStr">
        <is>
          <t>Rail Capex</t>
        </is>
      </c>
      <c r="F20" s="39" t="n">
        <v>3468.8</v>
      </c>
      <c r="G20" s="66" t="inlineStr">
        <is>
          <t>3 — light</t>
        </is>
      </c>
      <c r="H20" t="inlineStr">
        <is>
          <t>Results, price moves &gt;5%, analyst actions, sector news</t>
        </is>
      </c>
    </row>
    <row r="21">
      <c r="A21" t="inlineStr">
        <is>
          <t>Eternal (Zomato)</t>
        </is>
      </c>
      <c r="B21" t="inlineStr">
        <is>
          <t>Indian Stock/ETF</t>
        </is>
      </c>
      <c r="C21" t="inlineStr">
        <is>
          <t>ETERNAL</t>
        </is>
      </c>
      <c r="D21" t="inlineStr">
        <is>
          <t>NSE</t>
        </is>
      </c>
      <c r="E21" t="inlineStr">
        <is>
          <t>Consumer Internet</t>
        </is>
      </c>
      <c r="F21" s="39" t="n">
        <v>3443.4</v>
      </c>
      <c r="G21" s="66" t="inlineStr">
        <is>
          <t>3 — light</t>
        </is>
      </c>
      <c r="H21" t="inlineStr">
        <is>
          <t>Results, price moves &gt;5%, analyst actions, sector news</t>
        </is>
      </c>
    </row>
    <row r="22">
      <c r="A22" t="inlineStr">
        <is>
          <t>Indel Money (Bond/NCD)</t>
        </is>
      </c>
      <c r="B22" t="inlineStr">
        <is>
          <t>Indian Stock/ETF</t>
        </is>
      </c>
      <c r="C22" t="inlineStr">
        <is>
          <t>—</t>
        </is>
      </c>
      <c r="D22" t="inlineStr">
        <is>
          <t>NSE</t>
        </is>
      </c>
      <c r="E22" t="inlineStr">
        <is>
          <t>NBFC Debt</t>
        </is>
      </c>
      <c r="F22" s="39" t="n">
        <v>1901.86</v>
      </c>
      <c r="G22" s="66" t="inlineStr">
        <is>
          <t>3 — light</t>
        </is>
      </c>
      <c r="H22" t="inlineStr">
        <is>
          <t>Results, price moves &gt;5%, analyst actions, sector news</t>
        </is>
      </c>
    </row>
    <row r="23">
      <c r="A23" t="inlineStr">
        <is>
          <t>IRFC</t>
        </is>
      </c>
      <c r="B23" t="inlineStr">
        <is>
          <t>Indian Stock/ETF</t>
        </is>
      </c>
      <c r="C23" t="inlineStr">
        <is>
          <t>IRFC</t>
        </is>
      </c>
      <c r="D23" t="inlineStr">
        <is>
          <t>NSE</t>
        </is>
      </c>
      <c r="E23" t="inlineStr">
        <is>
          <t>PSU / Rail Finance</t>
        </is>
      </c>
      <c r="F23" s="39" t="n">
        <v>1330.8</v>
      </c>
      <c r="G23" s="66" t="inlineStr">
        <is>
          <t>3 — light</t>
        </is>
      </c>
      <c r="H23" t="inlineStr">
        <is>
          <t>Results, price moves &gt;5%, analyst actions, sector news</t>
        </is>
      </c>
    </row>
    <row r="24">
      <c r="A24" t="inlineStr">
        <is>
          <t>SMH</t>
        </is>
      </c>
      <c r="B24" t="inlineStr">
        <is>
          <t>US Stock/ETF</t>
        </is>
      </c>
      <c r="C24" t="inlineStr">
        <is>
          <t>SMH</t>
        </is>
      </c>
      <c r="D24" t="inlineStr">
        <is>
          <t>NASDAQ/NYSE</t>
        </is>
      </c>
      <c r="E24" t="inlineStr">
        <is>
          <t>Semiconductors ETF</t>
        </is>
      </c>
      <c r="F24" s="39" t="n">
        <v>51216</v>
      </c>
      <c r="G24" s="61" t="inlineStr">
        <is>
          <t>1 — never miss</t>
        </is>
      </c>
      <c r="H24" t="inlineStr">
        <is>
          <t>Earnings, guidance, price moves &gt;5%, sector news</t>
        </is>
      </c>
    </row>
    <row r="25">
      <c r="A25" t="inlineStr">
        <is>
          <t>ROBO</t>
        </is>
      </c>
      <c r="B25" t="inlineStr">
        <is>
          <t>US Stock/ETF</t>
        </is>
      </c>
      <c r="C25" t="inlineStr">
        <is>
          <t>ROBO</t>
        </is>
      </c>
      <c r="D25" t="inlineStr">
        <is>
          <t>NASDAQ/NYSE</t>
        </is>
      </c>
      <c r="E25" t="inlineStr">
        <is>
          <t>AI &amp; Robotics ETF</t>
        </is>
      </c>
      <c r="F25" s="39" t="n">
        <v>42504</v>
      </c>
      <c r="G25" s="61" t="inlineStr">
        <is>
          <t>1 — never miss</t>
        </is>
      </c>
      <c r="H25" t="inlineStr">
        <is>
          <t>Earnings, guidance, price moves &gt;5%, sector news</t>
        </is>
      </c>
    </row>
    <row r="26">
      <c r="A26" t="inlineStr">
        <is>
          <t>GOOGL</t>
        </is>
      </c>
      <c r="B26" t="inlineStr">
        <is>
          <t>US Stock/ETF</t>
        </is>
      </c>
      <c r="C26" t="inlineStr">
        <is>
          <t>GOOGL</t>
        </is>
      </c>
      <c r="D26" t="inlineStr">
        <is>
          <t>NASDAQ/NYSE</t>
        </is>
      </c>
      <c r="E26" t="inlineStr">
        <is>
          <t>US Megacap Tech</t>
        </is>
      </c>
      <c r="F26" s="39" t="n">
        <v>39688</v>
      </c>
      <c r="G26" s="61" t="inlineStr">
        <is>
          <t>1 — never miss</t>
        </is>
      </c>
      <c r="H26" t="inlineStr">
        <is>
          <t>Earnings, guidance, price moves &gt;5%, sector news</t>
        </is>
      </c>
    </row>
    <row r="27">
      <c r="A27" t="inlineStr">
        <is>
          <t>META</t>
        </is>
      </c>
      <c r="B27" t="inlineStr">
        <is>
          <t>US Stock/ETF</t>
        </is>
      </c>
      <c r="C27" t="inlineStr">
        <is>
          <t>META</t>
        </is>
      </c>
      <c r="D27" t="inlineStr">
        <is>
          <t>NASDAQ/NYSE</t>
        </is>
      </c>
      <c r="E27" t="inlineStr">
        <is>
          <t>US Megacap Tech</t>
        </is>
      </c>
      <c r="F27" s="39" t="n">
        <v>39600</v>
      </c>
      <c r="G27" s="61" t="inlineStr">
        <is>
          <t>1 — never miss</t>
        </is>
      </c>
      <c r="H27" t="inlineStr">
        <is>
          <t>Earnings, guidance, price moves &gt;5%, sector news</t>
        </is>
      </c>
    </row>
    <row r="28">
      <c r="A28" t="inlineStr">
        <is>
          <t>NOW</t>
        </is>
      </c>
      <c r="B28" t="inlineStr">
        <is>
          <t>US Stock/ETF</t>
        </is>
      </c>
      <c r="C28" t="inlineStr">
        <is>
          <t>NOW</t>
        </is>
      </c>
      <c r="D28" t="inlineStr">
        <is>
          <t>NASDAQ/NYSE</t>
        </is>
      </c>
      <c r="E28" t="inlineStr">
        <is>
          <t>Enterprise SaaS</t>
        </is>
      </c>
      <c r="F28" s="39" t="n">
        <v>36960</v>
      </c>
      <c r="G28" s="61" t="inlineStr">
        <is>
          <t>1 — never miss</t>
        </is>
      </c>
      <c r="H28" t="inlineStr">
        <is>
          <t>Earnings, guidance, price moves &gt;5%, sector news</t>
        </is>
      </c>
    </row>
    <row r="29">
      <c r="A29" t="inlineStr">
        <is>
          <t>MSFT</t>
        </is>
      </c>
      <c r="B29" t="inlineStr">
        <is>
          <t>US Stock/ETF</t>
        </is>
      </c>
      <c r="C29" t="inlineStr">
        <is>
          <t>MSFT</t>
        </is>
      </c>
      <c r="D29" t="inlineStr">
        <is>
          <t>NASDAQ/NYSE</t>
        </is>
      </c>
      <c r="E29" t="inlineStr">
        <is>
          <t>US Megacap Tech</t>
        </is>
      </c>
      <c r="F29" s="39" t="n">
        <v>36256</v>
      </c>
      <c r="G29" s="61" t="inlineStr">
        <is>
          <t>1 — never miss</t>
        </is>
      </c>
      <c r="H29" t="inlineStr">
        <is>
          <t>Earnings, guidance, price moves &gt;5%, sector news</t>
        </is>
      </c>
    </row>
    <row r="30">
      <c r="A30" t="inlineStr">
        <is>
          <t>VTV</t>
        </is>
      </c>
      <c r="B30" t="inlineStr">
        <is>
          <t>US Stock/ETF</t>
        </is>
      </c>
      <c r="C30" t="inlineStr">
        <is>
          <t>VTV</t>
        </is>
      </c>
      <c r="D30" t="inlineStr">
        <is>
          <t>NASDAQ/NYSE</t>
        </is>
      </c>
      <c r="E30" t="inlineStr">
        <is>
          <t>US Value ETF</t>
        </is>
      </c>
      <c r="F30" s="39" t="n">
        <v>30360</v>
      </c>
      <c r="G30" s="61" t="inlineStr">
        <is>
          <t>1 — never miss</t>
        </is>
      </c>
      <c r="H30" t="inlineStr">
        <is>
          <t>Earnings, guidance, price moves &gt;5%, sector news</t>
        </is>
      </c>
    </row>
    <row r="31">
      <c r="A31" t="inlineStr">
        <is>
          <t>AMZN</t>
        </is>
      </c>
      <c r="B31" t="inlineStr">
        <is>
          <t>US Stock/ETF</t>
        </is>
      </c>
      <c r="C31" t="inlineStr">
        <is>
          <t>AMZN</t>
        </is>
      </c>
      <c r="D31" t="inlineStr">
        <is>
          <t>NASDAQ/NYSE</t>
        </is>
      </c>
      <c r="E31" t="inlineStr">
        <is>
          <t>US Megacap Tech</t>
        </is>
      </c>
      <c r="F31" s="39" t="n">
        <v>17512</v>
      </c>
      <c r="G31" s="66" t="inlineStr">
        <is>
          <t>2 — standard</t>
        </is>
      </c>
      <c r="H31" t="inlineStr">
        <is>
          <t>Earnings, guidance, price moves &gt;5%, sector news</t>
        </is>
      </c>
    </row>
    <row r="32">
      <c r="A32" t="inlineStr">
        <is>
          <t>NVDA</t>
        </is>
      </c>
      <c r="B32" t="inlineStr">
        <is>
          <t>US Stock/ETF</t>
        </is>
      </c>
      <c r="C32" t="inlineStr">
        <is>
          <t>NVDA</t>
        </is>
      </c>
      <c r="D32" t="inlineStr">
        <is>
          <t>NASDAQ/NYSE</t>
        </is>
      </c>
      <c r="E32" t="inlineStr">
        <is>
          <t>Semiconductors</t>
        </is>
      </c>
      <c r="F32" s="39" t="n">
        <v>15136</v>
      </c>
      <c r="G32" s="66" t="inlineStr">
        <is>
          <t>2 — standard</t>
        </is>
      </c>
      <c r="H32" t="inlineStr">
        <is>
          <t>Earnings, guidance, price moves &gt;5%, sector news</t>
        </is>
      </c>
    </row>
    <row r="33">
      <c r="A33" t="inlineStr">
        <is>
          <t>PLTR</t>
        </is>
      </c>
      <c r="B33" t="inlineStr">
        <is>
          <t>US Stock/ETF</t>
        </is>
      </c>
      <c r="C33" t="inlineStr">
        <is>
          <t>PLTR</t>
        </is>
      </c>
      <c r="D33" t="inlineStr">
        <is>
          <t>NASDAQ/NYSE</t>
        </is>
      </c>
      <c r="E33" t="inlineStr">
        <is>
          <t>AI / Defense</t>
        </is>
      </c>
      <c r="F33" s="39" t="n">
        <v>14241</v>
      </c>
      <c r="G33" s="66" t="inlineStr">
        <is>
          <t>2 — standard</t>
        </is>
      </c>
      <c r="H33" t="inlineStr">
        <is>
          <t>Earnings, guidance, price moves &gt;5%, sector news</t>
        </is>
      </c>
    </row>
    <row r="34">
      <c r="A34" t="inlineStr">
        <is>
          <t>AIEQ</t>
        </is>
      </c>
      <c r="B34" t="inlineStr">
        <is>
          <t>US Stock/ETF</t>
        </is>
      </c>
      <c r="C34" t="inlineStr">
        <is>
          <t>AIEQ</t>
        </is>
      </c>
      <c r="D34" t="inlineStr">
        <is>
          <t>NASDAQ/NYSE</t>
        </is>
      </c>
      <c r="E34" t="inlineStr">
        <is>
          <t>AI-managed ETF</t>
        </is>
      </c>
      <c r="F34" s="39" t="n">
        <v>10053</v>
      </c>
      <c r="G34" s="66" t="inlineStr">
        <is>
          <t>3 — light</t>
        </is>
      </c>
      <c r="H34" t="inlineStr">
        <is>
          <t>Earnings, guidance, price moves &gt;5%, sector news</t>
        </is>
      </c>
    </row>
    <row r="35">
      <c r="A35" t="inlineStr">
        <is>
          <t>NVO</t>
        </is>
      </c>
      <c r="B35" t="inlineStr">
        <is>
          <t>US Stock/ETF</t>
        </is>
      </c>
      <c r="C35" t="inlineStr">
        <is>
          <t>NVO</t>
        </is>
      </c>
      <c r="D35" t="inlineStr">
        <is>
          <t>NASDAQ/NYSE</t>
        </is>
      </c>
      <c r="E35" t="inlineStr">
        <is>
          <t>Pharma / GLP-1</t>
        </is>
      </c>
      <c r="F35" s="39" t="n">
        <v>8800</v>
      </c>
      <c r="G35" s="66" t="inlineStr">
        <is>
          <t>3 — light</t>
        </is>
      </c>
      <c r="H35" t="inlineStr">
        <is>
          <t>Earnings, guidance, price moves &gt;5%, sector news</t>
        </is>
      </c>
    </row>
    <row r="36">
      <c r="A36" t="inlineStr">
        <is>
          <t>UNH</t>
        </is>
      </c>
      <c r="B36" t="inlineStr">
        <is>
          <t>US Stock/ETF</t>
        </is>
      </c>
      <c r="C36" t="inlineStr">
        <is>
          <t>UNH</t>
        </is>
      </c>
      <c r="D36" t="inlineStr">
        <is>
          <t>NASDAQ/NYSE</t>
        </is>
      </c>
      <c r="E36" t="inlineStr">
        <is>
          <t>US Healthcare</t>
        </is>
      </c>
      <c r="F36" s="39" t="n">
        <v>8800</v>
      </c>
      <c r="G36" s="66" t="inlineStr">
        <is>
          <t>3 — light</t>
        </is>
      </c>
      <c r="H36" t="inlineStr">
        <is>
          <t>Earnings, guidance, price moves &gt;5%, sector news</t>
        </is>
      </c>
    </row>
    <row r="37">
      <c r="A37" t="inlineStr">
        <is>
          <t>SNOW</t>
        </is>
      </c>
      <c r="B37" t="inlineStr">
        <is>
          <t>US Stock/ETF</t>
        </is>
      </c>
      <c r="C37" t="inlineStr">
        <is>
          <t>SNOW</t>
        </is>
      </c>
      <c r="D37" t="inlineStr">
        <is>
          <t>NASDAQ/NYSE</t>
        </is>
      </c>
      <c r="E37" t="inlineStr">
        <is>
          <t>Data / AI</t>
        </is>
      </c>
      <c r="F37" s="39" t="n">
        <v>7832</v>
      </c>
      <c r="G37" s="66" t="inlineStr">
        <is>
          <t>3 — light</t>
        </is>
      </c>
      <c r="H37" t="inlineStr">
        <is>
          <t>Earnings, guidance, price moves &gt;5%, sector news</t>
        </is>
      </c>
    </row>
    <row r="38">
      <c r="A38" t="inlineStr">
        <is>
          <t>AAPL</t>
        </is>
      </c>
      <c r="B38" t="inlineStr">
        <is>
          <t>US Stock/ETF</t>
        </is>
      </c>
      <c r="C38" t="inlineStr">
        <is>
          <t>AAPL</t>
        </is>
      </c>
      <c r="D38" t="inlineStr">
        <is>
          <t>NASDAQ/NYSE</t>
        </is>
      </c>
      <c r="E38" t="inlineStr">
        <is>
          <t>US Megacap Tech</t>
        </is>
      </c>
      <c r="F38" s="39" t="n">
        <v>6160</v>
      </c>
      <c r="G38" s="66" t="inlineStr">
        <is>
          <t>3 — light</t>
        </is>
      </c>
      <c r="H38" t="inlineStr">
        <is>
          <t>Earnings, guidance, price moves &gt;5%, sector news</t>
        </is>
      </c>
    </row>
    <row r="39">
      <c r="A39" t="inlineStr">
        <is>
          <t>DDOG</t>
        </is>
      </c>
      <c r="B39" t="inlineStr">
        <is>
          <t>US Stock/ETF</t>
        </is>
      </c>
      <c r="C39" t="inlineStr">
        <is>
          <t>DDOG</t>
        </is>
      </c>
      <c r="D39" t="inlineStr">
        <is>
          <t>NASDAQ/NYSE</t>
        </is>
      </c>
      <c r="E39" t="inlineStr">
        <is>
          <t>SaaS / Observability</t>
        </is>
      </c>
      <c r="F39" s="39" t="n">
        <v>5896</v>
      </c>
      <c r="G39" s="66" t="inlineStr">
        <is>
          <t>3 — light</t>
        </is>
      </c>
      <c r="H39" t="inlineStr">
        <is>
          <t>Earnings, guidance, price moves &gt;5%, sector news</t>
        </is>
      </c>
    </row>
    <row r="40">
      <c r="A40" t="inlineStr">
        <is>
          <t>CRWD</t>
        </is>
      </c>
      <c r="B40" t="inlineStr">
        <is>
          <t>US Stock/ETF</t>
        </is>
      </c>
      <c r="C40" t="inlineStr">
        <is>
          <t>CRWD</t>
        </is>
      </c>
      <c r="D40" t="inlineStr">
        <is>
          <t>NASDAQ/NYSE</t>
        </is>
      </c>
      <c r="E40" t="inlineStr">
        <is>
          <t>Cybersecurity</t>
        </is>
      </c>
      <c r="F40" s="39" t="n">
        <v>5896</v>
      </c>
      <c r="G40" s="66" t="inlineStr">
        <is>
          <t>3 — light</t>
        </is>
      </c>
      <c r="H40" t="inlineStr">
        <is>
          <t>Earnings, guidance, price moves &gt;5%, sector news</t>
        </is>
      </c>
    </row>
    <row r="41">
      <c r="A41" t="inlineStr">
        <is>
          <t>MELI</t>
        </is>
      </c>
      <c r="B41" t="inlineStr">
        <is>
          <t>US Stock/ETF</t>
        </is>
      </c>
      <c r="C41" t="inlineStr">
        <is>
          <t>MELI</t>
        </is>
      </c>
      <c r="D41" t="inlineStr">
        <is>
          <t>NASDAQ/NYSE</t>
        </is>
      </c>
      <c r="E41" t="inlineStr">
        <is>
          <t>LatAm E-commerce</t>
        </is>
      </c>
      <c r="F41" s="39" t="n">
        <v>4400</v>
      </c>
      <c r="G41" s="66" t="inlineStr">
        <is>
          <t>3 — light</t>
        </is>
      </c>
      <c r="H41" t="inlineStr">
        <is>
          <t>Earnings, guidance, price moves &gt;5%, sector news</t>
        </is>
      </c>
    </row>
    <row r="42">
      <c r="A42" t="inlineStr">
        <is>
          <t>Symbol</t>
        </is>
      </c>
      <c r="B42" t="inlineStr">
        <is>
          <t>US Stock/ETF</t>
        </is>
      </c>
      <c r="C42" t="inlineStr">
        <is>
          <t>Symbol</t>
        </is>
      </c>
      <c r="D42" t="inlineStr">
        <is>
          <t>NASDAQ/NYSE</t>
        </is>
      </c>
      <c r="E42" t="inlineStr"/>
      <c r="F42" s="39" t="n">
        <v>0</v>
      </c>
      <c r="G42" s="66" t="inlineStr">
        <is>
          <t>3 — light</t>
        </is>
      </c>
      <c r="H42" t="inlineStr">
        <is>
          <t>Earnings, guidance, price moves &gt;5%, sector news</t>
        </is>
      </c>
    </row>
    <row r="43">
      <c r="A43" t="inlineStr">
        <is>
          <t>Aditya Birla SL Credit Risk Fund Direct Grow</t>
        </is>
      </c>
      <c r="B43" t="inlineStr">
        <is>
          <t>Mutual Fund</t>
        </is>
      </c>
      <c r="C43" t="inlineStr">
        <is>
          <t>—</t>
        </is>
      </c>
      <c r="D43" t="inlineStr">
        <is>
          <t>ABSL</t>
        </is>
      </c>
      <c r="E43" t="inlineStr">
        <is>
          <t>Credit Risk</t>
        </is>
      </c>
      <c r="F43" s="39" t="n">
        <v>150676.64</v>
      </c>
      <c r="G43" t="inlineStr">
        <is>
          <t>2 — standard</t>
        </is>
      </c>
      <c r="H43" t="inlineStr">
        <is>
          <t>AMC news, SEBI actions, category flows, mandate changes</t>
        </is>
      </c>
    </row>
    <row r="44">
      <c r="A44" t="inlineStr">
        <is>
          <t>Mirae Asset Large Cap Fund Growth</t>
        </is>
      </c>
      <c r="B44" t="inlineStr">
        <is>
          <t>Mutual Fund</t>
        </is>
      </c>
      <c r="C44" t="inlineStr">
        <is>
          <t>—</t>
        </is>
      </c>
      <c r="D44" t="inlineStr">
        <is>
          <t>Mirae Asset</t>
        </is>
      </c>
      <c r="E44" t="inlineStr">
        <is>
          <t>Large Cap</t>
        </is>
      </c>
      <c r="F44" s="39" t="n">
        <v>119802.72</v>
      </c>
      <c r="G44" t="inlineStr">
        <is>
          <t>2 — standard</t>
        </is>
      </c>
      <c r="H44" t="inlineStr">
        <is>
          <t>AMC news, SEBI actions, category flows, mandate changes</t>
        </is>
      </c>
    </row>
    <row r="45">
      <c r="A45" t="inlineStr">
        <is>
          <t>HDFC Dividend Yield Fund Growth</t>
        </is>
      </c>
      <c r="B45" t="inlineStr">
        <is>
          <t>Mutual Fund</t>
        </is>
      </c>
      <c r="C45" t="inlineStr">
        <is>
          <t>—</t>
        </is>
      </c>
      <c r="D45" t="inlineStr">
        <is>
          <t>HDFC</t>
        </is>
      </c>
      <c r="E45" t="inlineStr">
        <is>
          <t>Thematic</t>
        </is>
      </c>
      <c r="F45" s="39" t="n">
        <v>119210.85</v>
      </c>
      <c r="G45" t="inlineStr">
        <is>
          <t>2 — standard</t>
        </is>
      </c>
      <c r="H45" t="inlineStr">
        <is>
          <t>AMC news, SEBI actions, category flows, mandate changes</t>
        </is>
      </c>
    </row>
    <row r="46">
      <c r="A46" t="inlineStr">
        <is>
          <t>ICICI Pru Large Cap Fund Growth</t>
        </is>
      </c>
      <c r="B46" t="inlineStr">
        <is>
          <t>Mutual Fund</t>
        </is>
      </c>
      <c r="C46" t="inlineStr">
        <is>
          <t>—</t>
        </is>
      </c>
      <c r="D46" t="inlineStr">
        <is>
          <t>ICICI Pru</t>
        </is>
      </c>
      <c r="E46" t="inlineStr">
        <is>
          <t>Large Cap</t>
        </is>
      </c>
      <c r="F46" s="39" t="n">
        <v>118256.23</v>
      </c>
      <c r="G46" t="inlineStr">
        <is>
          <t>2 — standard</t>
        </is>
      </c>
      <c r="H46" t="inlineStr">
        <is>
          <t>AMC news, SEBI actions, category flows, mandate changes</t>
        </is>
      </c>
    </row>
    <row r="47">
      <c r="A47" t="inlineStr">
        <is>
          <t>ICICI Pru Nifty 50 Index Fund Growth</t>
        </is>
      </c>
      <c r="B47" t="inlineStr">
        <is>
          <t>Mutual Fund</t>
        </is>
      </c>
      <c r="C47" t="inlineStr">
        <is>
          <t>—</t>
        </is>
      </c>
      <c r="D47" t="inlineStr">
        <is>
          <t>ICICI Pru</t>
        </is>
      </c>
      <c r="E47" t="inlineStr">
        <is>
          <t>Large Cap</t>
        </is>
      </c>
      <c r="F47" s="39" t="n">
        <v>115474.22</v>
      </c>
      <c r="G47" t="inlineStr">
        <is>
          <t>2 — standard</t>
        </is>
      </c>
      <c r="H47" t="inlineStr">
        <is>
          <t>AMC news, SEBI actions, category flows, mandate changes</t>
        </is>
      </c>
    </row>
    <row r="48">
      <c r="A48" t="inlineStr">
        <is>
          <t>Mirae Asset Midcap Fund Growth</t>
        </is>
      </c>
      <c r="B48" t="inlineStr">
        <is>
          <t>Mutual Fund</t>
        </is>
      </c>
      <c r="C48" t="inlineStr">
        <is>
          <t>—</t>
        </is>
      </c>
      <c r="D48" t="inlineStr">
        <is>
          <t>Mirae Asset</t>
        </is>
      </c>
      <c r="E48" t="inlineStr">
        <is>
          <t>Mid Cap</t>
        </is>
      </c>
      <c r="F48" s="39" t="n">
        <v>106766.48</v>
      </c>
      <c r="G48" t="inlineStr">
        <is>
          <t>2 — standard</t>
        </is>
      </c>
      <c r="H48" t="inlineStr">
        <is>
          <t>AMC news, SEBI actions, category flows, mandate changes</t>
        </is>
      </c>
    </row>
    <row r="49">
      <c r="A49" t="inlineStr">
        <is>
          <t>Tata Small Cap Fund Growth</t>
        </is>
      </c>
      <c r="B49" t="inlineStr">
        <is>
          <t>Mutual Fund</t>
        </is>
      </c>
      <c r="C49" t="inlineStr">
        <is>
          <t>—</t>
        </is>
      </c>
      <c r="D49" t="inlineStr">
        <is>
          <t>Tata</t>
        </is>
      </c>
      <c r="E49" t="inlineStr">
        <is>
          <t>Small Cap</t>
        </is>
      </c>
      <c r="F49" s="39" t="n">
        <v>106658.42</v>
      </c>
      <c r="G49" t="inlineStr">
        <is>
          <t>2 — standard</t>
        </is>
      </c>
      <c r="H49" t="inlineStr">
        <is>
          <t>AMC news, SEBI actions, category flows, mandate changes</t>
        </is>
      </c>
    </row>
    <row r="50">
      <c r="A50" t="inlineStr">
        <is>
          <t>Templeton India Value Fund Growth</t>
        </is>
      </c>
      <c r="B50" t="inlineStr">
        <is>
          <t>Mutual Fund</t>
        </is>
      </c>
      <c r="C50" t="inlineStr">
        <is>
          <t>—</t>
        </is>
      </c>
      <c r="D50" t="inlineStr">
        <is>
          <t>Franklin Templeton</t>
        </is>
      </c>
      <c r="E50" t="inlineStr">
        <is>
          <t>Value</t>
        </is>
      </c>
      <c r="F50" s="39" t="n">
        <v>104292.84</v>
      </c>
      <c r="G50" t="inlineStr">
        <is>
          <t>2 — standard</t>
        </is>
      </c>
      <c r="H50" t="inlineStr">
        <is>
          <t>AMC news, SEBI actions, category flows, mandate changes</t>
        </is>
      </c>
    </row>
    <row r="52">
      <c r="A52" s="67" t="inlineStr">
        <is>
          <t>SECTOR CLUSTERS to track as themes (you are concentrated here):</t>
        </is>
      </c>
    </row>
    <row r="53">
      <c r="A53" s="66" t="inlineStr">
        <is>
          <t>• US Megacap Tech + Semiconductors (largest cluster, ~13% of portfolio)</t>
        </is>
      </c>
    </row>
    <row r="54">
      <c r="A54" s="66" t="inlineStr">
        <is>
          <t>• Indian Banking (Axis, IndusInd, PSU Bank ETF)</t>
        </is>
      </c>
    </row>
    <row r="55">
      <c r="A55" s="66" t="inlineStr">
        <is>
          <t>• Auto (Tata Motors + Tata Motors PV)</t>
        </is>
      </c>
    </row>
    <row r="56">
      <c r="A56" s="66" t="inlineStr">
        <is>
          <t>• Rail/Infra capex (IRFC, Titagarh, Adani Ports)</t>
        </is>
      </c>
    </row>
    <row r="57">
      <c r="A57" s="66" t="inlineStr">
        <is>
          <t>• FMCG (ITC, HUL — both currently negative)</t>
        </is>
      </c>
    </row>
    <row r="58">
      <c r="A58" s="66" t="inlineStr">
        <is>
          <t>• Renewables (NTPC Green)</t>
        </is>
      </c>
    </row>
    <row r="59">
      <c r="A59" s="66" t="inlineStr">
        <is>
          <t>• Mid &amp; Small Cap India (~22% of MF book)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2026-07-21T17:49:38Z</dcterms:created>
  <dcterms:modified xmlns:dcterms="http://purl.org/dc/terms/" xmlns:xsi="http://www.w3.org/2001/XMLSchema-instance" xsi:type="dcterms:W3CDTF">2026-08-01T16:47:26Z</dcterms:modified>
  <cp:revision>0</cp:revision>
</cp:coreProperties>
</file>